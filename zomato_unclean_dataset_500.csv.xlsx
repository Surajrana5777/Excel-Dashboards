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Excel Dashbords\"/>
    </mc:Choice>
  </mc:AlternateContent>
  <xr:revisionPtr revIDLastSave="0" documentId="13_ncr:1_{EA3C9FD5-3C97-464F-9D23-A63BE24DC4CA}" xr6:coauthVersionLast="47" xr6:coauthVersionMax="47" xr10:uidLastSave="{00000000-0000-0000-0000-000000000000}"/>
  <bookViews>
    <workbookView xWindow="-110" yWindow="-110" windowWidth="19420" windowHeight="10300" firstSheet="1" activeTab="3" xr2:uid="{69EC992D-A314-47DE-9664-1887D6E88886}"/>
  </bookViews>
  <sheets>
    <sheet name="zomato_uncleaned_dataset" sheetId="1" r:id="rId1"/>
    <sheet name="zomato cleaned dataset" sheetId="2" r:id="rId2"/>
    <sheet name="pivot tables" sheetId="3" r:id="rId3"/>
    <sheet name="zomato sales dashboard" sheetId="4" r:id="rId4"/>
  </sheets>
  <definedNames>
    <definedName name="ExternalData_1" localSheetId="1" hidden="1">'zomato cleaned dataset'!$A$1:$P$398</definedName>
    <definedName name="Slicer_City">#N/A</definedName>
    <definedName name="Slicer_Restaura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4" l="1"/>
  <c r="A6" i="4"/>
  <c r="J6" i="4"/>
  <c r="G6" i="4"/>
  <c r="D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C749B3-323B-43EA-B78E-0E1DEA8519E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<sst xmlns="http://schemas.openxmlformats.org/spreadsheetml/2006/main" count="6538" uniqueCount="880">
  <si>
    <t>Order_ID</t>
  </si>
  <si>
    <t>Order_Date</t>
  </si>
  <si>
    <t>Restaurant</t>
  </si>
  <si>
    <t>City</t>
  </si>
  <si>
    <t>Cuisine</t>
  </si>
  <si>
    <t>Customer_Age</t>
  </si>
  <si>
    <t>Rating</t>
  </si>
  <si>
    <t>Delivery_Time</t>
  </si>
  <si>
    <t>Order_Value</t>
  </si>
  <si>
    <t>Discount</t>
  </si>
  <si>
    <t>Payment_Mode</t>
  </si>
  <si>
    <t>Order_Status</t>
  </si>
  <si>
    <t>Number_of_Items</t>
  </si>
  <si>
    <t>Delivery_Partner</t>
  </si>
  <si>
    <t>Profit</t>
  </si>
  <si>
    <t>ORD_117</t>
  </si>
  <si>
    <t>Haldiram's</t>
  </si>
  <si>
    <t>Delhi</t>
  </si>
  <si>
    <t>Street Food</t>
  </si>
  <si>
    <t>UPI</t>
  </si>
  <si>
    <t>FAILED</t>
  </si>
  <si>
    <t>Zomato Valet</t>
  </si>
  <si>
    <t>ZOM-10002</t>
  </si>
  <si>
    <t>Burger King</t>
  </si>
  <si>
    <t>Ahmedabad</t>
  </si>
  <si>
    <t>Chinese</t>
  </si>
  <si>
    <t>39 mins</t>
  </si>
  <si>
    <t>Wallet</t>
  </si>
  <si>
    <t>Delivered</t>
  </si>
  <si>
    <t>In-house</t>
  </si>
  <si>
    <t>ZOM-10003</t>
  </si>
  <si>
    <t>Behrouz Biryani</t>
  </si>
  <si>
    <t>Bengaluru</t>
  </si>
  <si>
    <t>Fast Food</t>
  </si>
  <si>
    <t>â‚¹1739.07</t>
  </si>
  <si>
    <t>Shadowfax</t>
  </si>
  <si>
    <t>ZOM-10004</t>
  </si>
  <si>
    <t>Wow! Momo</t>
  </si>
  <si>
    <t>Chennai</t>
  </si>
  <si>
    <t>North Indian</t>
  </si>
  <si>
    <t>57 mins</t>
  </si>
  <si>
    <t>Cash on Delivery</t>
  </si>
  <si>
    <t>Cancelled</t>
  </si>
  <si>
    <t>Grab</t>
  </si>
  <si>
    <t>â‚¹1.81</t>
  </si>
  <si>
    <t>21/05/2024</t>
  </si>
  <si>
    <t>Bikanervala</t>
  </si>
  <si>
    <t>21 mins</t>
  </si>
  <si>
    <t>ZOM-10006</t>
  </si>
  <si>
    <t>Bangalore</t>
  </si>
  <si>
    <t>North Indian, Italian</t>
  </si>
  <si>
    <t>Rapido</t>
  </si>
  <si>
    <t>ZOM-10007</t>
  </si>
  <si>
    <t>25/05/2024</t>
  </si>
  <si>
    <t>Kolkata</t>
  </si>
  <si>
    <t>Italian</t>
  </si>
  <si>
    <t>ZOM-10008</t>
  </si>
  <si>
    <t>ZOM-10009</t>
  </si>
  <si>
    <t>Hyderabad</t>
  </si>
  <si>
    <t>Refunded</t>
  </si>
  <si>
    <t>ZOM-10010</t>
  </si>
  <si>
    <t>Desserts</t>
  </si>
  <si>
    <t>ZOM-10011</t>
  </si>
  <si>
    <t>B@rbeque N@ti0n</t>
  </si>
  <si>
    <t>CC</t>
  </si>
  <si>
    <t>ZOM-10012</t>
  </si>
  <si>
    <t>Dominos Pizza</t>
  </si>
  <si>
    <t>Mughlai</t>
  </si>
  <si>
    <t>Credit Card</t>
  </si>
  <si>
    <t>ZOM-10013</t>
  </si>
  <si>
    <t>Subway</t>
  </si>
  <si>
    <t>Pune</t>
  </si>
  <si>
    <t>Bakery, Desserts</t>
  </si>
  <si>
    <t>Debit Card</t>
  </si>
  <si>
    <t>RAPIDO</t>
  </si>
  <si>
    <t>ZOM-10014</t>
  </si>
  <si>
    <t>KFC</t>
  </si>
  <si>
    <t>ZOM-10015</t>
  </si>
  <si>
    <t>Bakery</t>
  </si>
  <si>
    <t>56 mins</t>
  </si>
  <si>
    <t>ZOM-10016</t>
  </si>
  <si>
    <t>Paradise Biryani</t>
  </si>
  <si>
    <t>30 mins</t>
  </si>
  <si>
    <t>Dunzo</t>
  </si>
  <si>
    <t>ZOM-10017</t>
  </si>
  <si>
    <t>â‚¹-42.35</t>
  </si>
  <si>
    <t>ZOM-10018</t>
  </si>
  <si>
    <t>chai point</t>
  </si>
  <si>
    <t>Jaipur</t>
  </si>
  <si>
    <t>ZOM-10019</t>
  </si>
  <si>
    <t>ZOM-10020</t>
  </si>
  <si>
    <t>31 mins</t>
  </si>
  <si>
    <t>ZOM-10021</t>
  </si>
  <si>
    <t>Mumbai</t>
  </si>
  <si>
    <t>pending</t>
  </si>
  <si>
    <t>ZOM-10022</t>
  </si>
  <si>
    <t>ZOM-10023</t>
  </si>
  <si>
    <t>South Indian</t>
  </si>
  <si>
    <t>GRAB</t>
  </si>
  <si>
    <t>ZOM-10024</t>
  </si>
  <si>
    <t>ZOM-10025</t>
  </si>
  <si>
    <t>Biryani</t>
  </si>
  <si>
    <t>63 mins</t>
  </si>
  <si>
    <t>Net Banking</t>
  </si>
  <si>
    <t>ZOM-10026</t>
  </si>
  <si>
    <t>pune</t>
  </si>
  <si>
    <t>ZOM-10027</t>
  </si>
  <si>
    <t>ZOM-10028</t>
  </si>
  <si>
    <t>ZOM-10029</t>
  </si>
  <si>
    <t>ZOM-10030</t>
  </si>
  <si>
    <t>Bik@nerv@l@</t>
  </si>
  <si>
    <t>ZOM-10031</t>
  </si>
  <si>
    <t>Faasos</t>
  </si>
  <si>
    <t>ZOM-10032</t>
  </si>
  <si>
    <t>â‚¹682.32</t>
  </si>
  <si>
    <t>ZOM-10033</t>
  </si>
  <si>
    <t>23/04/2024</t>
  </si>
  <si>
    <t>ZOM-10034</t>
  </si>
  <si>
    <t>faasos</t>
  </si>
  <si>
    <t>ZOM-10035</t>
  </si>
  <si>
    <t>ZOM-10036</t>
  </si>
  <si>
    <t>ORD_113</t>
  </si>
  <si>
    <t>Chai Point</t>
  </si>
  <si>
    <t>42 mins</t>
  </si>
  <si>
    <t>ZOM-10038</t>
  </si>
  <si>
    <t>ZOM-10039</t>
  </si>
  <si>
    <t>mumbai</t>
  </si>
  <si>
    <t>ZOM-10040</t>
  </si>
  <si>
    <t>48 mins</t>
  </si>
  <si>
    <t>ZOM-10041</t>
  </si>
  <si>
    <t>17/01/2024</t>
  </si>
  <si>
    <t>ZOM-10042</t>
  </si>
  <si>
    <t>ZOM-10043</t>
  </si>
  <si>
    <t>ZOM-10044</t>
  </si>
  <si>
    <t>Mughlai, South Indian</t>
  </si>
  <si>
    <t>ZOM-10045</t>
  </si>
  <si>
    <t>Barbeque Nation</t>
  </si>
  <si>
    <t>ZOM-10046</t>
  </si>
  <si>
    <t>ZOM-10047</t>
  </si>
  <si>
    <t>22/03/2024</t>
  </si>
  <si>
    <t>49 mins</t>
  </si>
  <si>
    <t>ZOM-10048</t>
  </si>
  <si>
    <t>16/06/2024</t>
  </si>
  <si>
    <t>ORD_121</t>
  </si>
  <si>
    <t>fast food</t>
  </si>
  <si>
    <t>ZOM-10050</t>
  </si>
  <si>
    <t>Lucknow</t>
  </si>
  <si>
    <t>69 mins</t>
  </si>
  <si>
    <t>â‚¹1358.41</t>
  </si>
  <si>
    <t>SUBWAY</t>
  </si>
  <si>
    <t>ZOM-10052</t>
  </si>
  <si>
    <t>chinese</t>
  </si>
  <si>
    <t>ZOM-10053</t>
  </si>
  <si>
    <t>subway</t>
  </si>
  <si>
    <t>ZOM-10054</t>
  </si>
  <si>
    <t>SHADOWFAX</t>
  </si>
  <si>
    <t>ZOM-10055</t>
  </si>
  <si>
    <t>wallet</t>
  </si>
  <si>
    <t>ZOM-10056</t>
  </si>
  <si>
    <t>WOW! MOMO</t>
  </si>
  <si>
    <t>jaipur</t>
  </si>
  <si>
    <t>ZOM-10057</t>
  </si>
  <si>
    <t>â‚¹241.53</t>
  </si>
  <si>
    <t>ZOM-10058</t>
  </si>
  <si>
    <t xml:space="preserve">  Chai Point  </t>
  </si>
  <si>
    <t>19 mins</t>
  </si>
  <si>
    <t>ZOM-10059</t>
  </si>
  <si>
    <t>kfc</t>
  </si>
  <si>
    <t>32 mins</t>
  </si>
  <si>
    <t>ZOM-10060</t>
  </si>
  <si>
    <t>ZOM-10061</t>
  </si>
  <si>
    <t>ZOM-10062</t>
  </si>
  <si>
    <t>behrouz biryani</t>
  </si>
  <si>
    <t>ZOM-10064</t>
  </si>
  <si>
    <t>14/06/2024</t>
  </si>
  <si>
    <t>51 mins</t>
  </si>
  <si>
    <t>ZOM-10065</t>
  </si>
  <si>
    <t>burger king</t>
  </si>
  <si>
    <t>28 mins</t>
  </si>
  <si>
    <t>ZOM-10066</t>
  </si>
  <si>
    <t>ZOM-10067</t>
  </si>
  <si>
    <t>bangalore</t>
  </si>
  <si>
    <t>38 mins</t>
  </si>
  <si>
    <t>â‚¹11.4</t>
  </si>
  <si>
    <t>ZOM-10069</t>
  </si>
  <si>
    <t>Italian, Chinese</t>
  </si>
  <si>
    <t>71 mins</t>
  </si>
  <si>
    <t>â‚¹-66.86</t>
  </si>
  <si>
    <t>ZOM-10070</t>
  </si>
  <si>
    <t>â‚¹257.82</t>
  </si>
  <si>
    <t>ZOM-10071</t>
  </si>
  <si>
    <t>HALDIRAM'S</t>
  </si>
  <si>
    <t>â‚¹1724.41</t>
  </si>
  <si>
    <t>upi</t>
  </si>
  <si>
    <t>ZOM-10072</t>
  </si>
  <si>
    <t>ZOM-10074</t>
  </si>
  <si>
    <t>28/01/2024</t>
  </si>
  <si>
    <t>biryani</t>
  </si>
  <si>
    <t>ZOM-10075</t>
  </si>
  <si>
    <t>H@ldir@m's</t>
  </si>
  <si>
    <t>ZOM-10076</t>
  </si>
  <si>
    <t>ZOM-10077</t>
  </si>
  <si>
    <t>60 mins</t>
  </si>
  <si>
    <t>ZOM-10078</t>
  </si>
  <si>
    <t>ZOM-10079</t>
  </si>
  <si>
    <t>ZOM-10080</t>
  </si>
  <si>
    <t>ZOM-10081</t>
  </si>
  <si>
    <t>27/02/2024</t>
  </si>
  <si>
    <t>ZOM-10082</t>
  </si>
  <si>
    <t>ZOM-10083</t>
  </si>
  <si>
    <t>ZOM-10084</t>
  </si>
  <si>
    <t>ZOM-10085</t>
  </si>
  <si>
    <t>ZOM-10086</t>
  </si>
  <si>
    <t>17/04/2024</t>
  </si>
  <si>
    <t>ZOM-10087</t>
  </si>
  <si>
    <t>31/01/2024</t>
  </si>
  <si>
    <t>ZOM-10088</t>
  </si>
  <si>
    <t>ORD_140</t>
  </si>
  <si>
    <t>Ch@i P0int</t>
  </si>
  <si>
    <t>ZOM-10090</t>
  </si>
  <si>
    <t>17 mins</t>
  </si>
  <si>
    <t>ZOM-10091</t>
  </si>
  <si>
    <t>ZOM-10092</t>
  </si>
  <si>
    <t>ZOM-10093</t>
  </si>
  <si>
    <t>ZOM-10094</t>
  </si>
  <si>
    <t>ZOM-10095</t>
  </si>
  <si>
    <t>ZOM-10096</t>
  </si>
  <si>
    <t>ZOM-10097</t>
  </si>
  <si>
    <t>BARBEQUE NATION</t>
  </si>
  <si>
    <t>ZOM-10098</t>
  </si>
  <si>
    <t>24/02/2024</t>
  </si>
  <si>
    <t>ZOM-10099</t>
  </si>
  <si>
    <t>ZOM-10100</t>
  </si>
  <si>
    <t xml:space="preserve">  Paradise Biryani  </t>
  </si>
  <si>
    <t>â‚¹2201.95</t>
  </si>
  <si>
    <t>ZOM-10101</t>
  </si>
  <si>
    <t>ahmedabad</t>
  </si>
  <si>
    <t>54 mins</t>
  </si>
  <si>
    <t>ZOM-10102</t>
  </si>
  <si>
    <t>ZOM-10103</t>
  </si>
  <si>
    <t>ZOM-10104</t>
  </si>
  <si>
    <t>ZOM-10105</t>
  </si>
  <si>
    <t>â‚¹1539.75</t>
  </si>
  <si>
    <t>ZOM-10106</t>
  </si>
  <si>
    <t xml:space="preserve">  Barbeque Nation  </t>
  </si>
  <si>
    <t>ZOM-10107</t>
  </si>
  <si>
    <t>ZOM-10108</t>
  </si>
  <si>
    <t>ZOM-10109</t>
  </si>
  <si>
    <t xml:space="preserve">  Dominos Pizza  </t>
  </si>
  <si>
    <t>ZOM-10110</t>
  </si>
  <si>
    <t>ZOM-10111</t>
  </si>
  <si>
    <t>ZOM-10112</t>
  </si>
  <si>
    <t>ZOM-10113</t>
  </si>
  <si>
    <t>20/02/2024</t>
  </si>
  <si>
    <t>â‚¹2140.38</t>
  </si>
  <si>
    <t>74 mins</t>
  </si>
  <si>
    <t>ZOM-10115</t>
  </si>
  <si>
    <t>15/02/2024</t>
  </si>
  <si>
    <t>33 mins</t>
  </si>
  <si>
    <t>ZOM-10116</t>
  </si>
  <si>
    <t>Italian, Fast Food</t>
  </si>
  <si>
    <t>ZOM-10117</t>
  </si>
  <si>
    <t>ZOM-10118</t>
  </si>
  <si>
    <t>ORD_145</t>
  </si>
  <si>
    <t>ZOM-10120</t>
  </si>
  <si>
    <t>ZOM-10121</t>
  </si>
  <si>
    <t>66 mins</t>
  </si>
  <si>
    <t>ZOM-10123</t>
  </si>
  <si>
    <t>North Indian, Street Food</t>
  </si>
  <si>
    <t>61 mins</t>
  </si>
  <si>
    <t>ZOM-10124</t>
  </si>
  <si>
    <t>23/05/2024</t>
  </si>
  <si>
    <t>net banking</t>
  </si>
  <si>
    <t>ZOM-10125</t>
  </si>
  <si>
    <t>28/03/2024</t>
  </si>
  <si>
    <t>â‚¹727.99</t>
  </si>
  <si>
    <t>ZOM-10126</t>
  </si>
  <si>
    <t>â‚¹776.59</t>
  </si>
  <si>
    <t>ZOM-10127</t>
  </si>
  <si>
    <t>20/03/2024</t>
  </si>
  <si>
    <t>ZOM-10128</t>
  </si>
  <si>
    <t>dominos pizza</t>
  </si>
  <si>
    <t>ZOM-10129</t>
  </si>
  <si>
    <t xml:space="preserve">  Wow! Momo  </t>
  </si>
  <si>
    <t>Bombay</t>
  </si>
  <si>
    <t>43 mins</t>
  </si>
  <si>
    <t>ZOM-10130</t>
  </si>
  <si>
    <t>ZOM-10131</t>
  </si>
  <si>
    <t>ZOM-10132</t>
  </si>
  <si>
    <t>Italian, Mughlai</t>
  </si>
  <si>
    <t>ZOM-10133</t>
  </si>
  <si>
    <t>ZOM-10134</t>
  </si>
  <si>
    <t>17/05/2024</t>
  </si>
  <si>
    <t>ZOM-10135</t>
  </si>
  <si>
    <t>14/02/2024</t>
  </si>
  <si>
    <t>ZOM-10136</t>
  </si>
  <si>
    <t>ZOM-10137</t>
  </si>
  <si>
    <t>ZOM-10138</t>
  </si>
  <si>
    <t>28/04/2024</t>
  </si>
  <si>
    <t>ZOM-10139</t>
  </si>
  <si>
    <t>ZOM-10140</t>
  </si>
  <si>
    <t>18/02/2024</t>
  </si>
  <si>
    <t>ZOM-10141</t>
  </si>
  <si>
    <t>55 mins</t>
  </si>
  <si>
    <t>ZOM-10142</t>
  </si>
  <si>
    <t>COD</t>
  </si>
  <si>
    <t>ZOM-10143</t>
  </si>
  <si>
    <t>ZOM-10144</t>
  </si>
  <si>
    <t>16/02/2024</t>
  </si>
  <si>
    <t>75 mins</t>
  </si>
  <si>
    <t>ZOM-10145</t>
  </si>
  <si>
    <t>Biryani, Chinese</t>
  </si>
  <si>
    <t>ZOM-10146</t>
  </si>
  <si>
    <t>16/07/2024</t>
  </si>
  <si>
    <t>ORD_101</t>
  </si>
  <si>
    <t>desserts</t>
  </si>
  <si>
    <t>ZOM-10148</t>
  </si>
  <si>
    <t>ZOM-10149</t>
  </si>
  <si>
    <t>22 mins</t>
  </si>
  <si>
    <t>ZOM-10150</t>
  </si>
  <si>
    <t>Mughlai, Chinese</t>
  </si>
  <si>
    <t>â‚¹667.55</t>
  </si>
  <si>
    <t>ZOM-10151</t>
  </si>
  <si>
    <t>bikanervala</t>
  </si>
  <si>
    <t>41 mins</t>
  </si>
  <si>
    <t>ZOM-10152</t>
  </si>
  <si>
    <t>ZOM-10153</t>
  </si>
  <si>
    <t>DOMINOS PIZZA</t>
  </si>
  <si>
    <t>ZOM-10154</t>
  </si>
  <si>
    <t>ZOM-10155</t>
  </si>
  <si>
    <t>â‚¹503.79</t>
  </si>
  <si>
    <t>ZOM-10156</t>
  </si>
  <si>
    <t>50 mins</t>
  </si>
  <si>
    <t>ZOM-10157</t>
  </si>
  <si>
    <t>â‚¹245.59</t>
  </si>
  <si>
    <t>ZOM-10158</t>
  </si>
  <si>
    <t>23/01/2024</t>
  </si>
  <si>
    <t>ZOM-10159</t>
  </si>
  <si>
    <t>Behr0uz Biry@ni</t>
  </si>
  <si>
    <t>kolkata</t>
  </si>
  <si>
    <t>ORD_133</t>
  </si>
  <si>
    <t>ZOM-10161</t>
  </si>
  <si>
    <t>paradise biryani</t>
  </si>
  <si>
    <t>37 mins</t>
  </si>
  <si>
    <t>â‚¹189.64</t>
  </si>
  <si>
    <t>ORD_146</t>
  </si>
  <si>
    <t>â‚¹1445.97</t>
  </si>
  <si>
    <t>ORD_143</t>
  </si>
  <si>
    <t>ZOM-10164</t>
  </si>
  <si>
    <t>ZOM-10165</t>
  </si>
  <si>
    <t>ZOM-10166</t>
  </si>
  <si>
    <t>â‚¹31.16</t>
  </si>
  <si>
    <t>ZOM-10167</t>
  </si>
  <si>
    <t>67 mins</t>
  </si>
  <si>
    <t>ZOM-10168</t>
  </si>
  <si>
    <t>ZOM-10169</t>
  </si>
  <si>
    <t>ZOM-10170</t>
  </si>
  <si>
    <t>ZOM-10171</t>
  </si>
  <si>
    <t>ZOM-10172</t>
  </si>
  <si>
    <t>D0min0s Pizz@</t>
  </si>
  <si>
    <t>ZOM-10174</t>
  </si>
  <si>
    <t>62 mins</t>
  </si>
  <si>
    <t>ZOM-10175</t>
  </si>
  <si>
    <t>ZOM-10176</t>
  </si>
  <si>
    <t>ZOM-10177</t>
  </si>
  <si>
    <t>â‚¹823.25</t>
  </si>
  <si>
    <t>ZOM-10178</t>
  </si>
  <si>
    <t>Fast Food, Bakery</t>
  </si>
  <si>
    <t>ZOM-10179</t>
  </si>
  <si>
    <t>cash on delivery</t>
  </si>
  <si>
    <t>ZOM-10180</t>
  </si>
  <si>
    <t>73 mins</t>
  </si>
  <si>
    <t>ZOM-10181</t>
  </si>
  <si>
    <t>hyderabad</t>
  </si>
  <si>
    <t>ZOM-10182</t>
  </si>
  <si>
    <t>ZOM-10183</t>
  </si>
  <si>
    <t>â‚¹2267.98</t>
  </si>
  <si>
    <t>ZOM-10184</t>
  </si>
  <si>
    <t>ZOM-10185</t>
  </si>
  <si>
    <t>ZOM-10186</t>
  </si>
  <si>
    <t>ZOM-10187</t>
  </si>
  <si>
    <t>ZOM-10188</t>
  </si>
  <si>
    <t>â‚¹4.33</t>
  </si>
  <si>
    <t>ZOM-10189</t>
  </si>
  <si>
    <t>18 mins</t>
  </si>
  <si>
    <t>â‚¹54.23</t>
  </si>
  <si>
    <t>ZOM-10190</t>
  </si>
  <si>
    <t>bakery</t>
  </si>
  <si>
    <t>ZOM-10191</t>
  </si>
  <si>
    <t>Fast Food, Mughlai</t>
  </si>
  <si>
    <t>ZOM-10192</t>
  </si>
  <si>
    <t>ZOM-10193</t>
  </si>
  <si>
    <t>ZOM-10194</t>
  </si>
  <si>
    <t>haldiram's</t>
  </si>
  <si>
    <t>53 mins</t>
  </si>
  <si>
    <t>ZOM-10195</t>
  </si>
  <si>
    <t>Subw@y</t>
  </si>
  <si>
    <t>ZOM-10196</t>
  </si>
  <si>
    <t>ZOM-10197</t>
  </si>
  <si>
    <t>Desserts, Chinese</t>
  </si>
  <si>
    <t>ZOM-10198</t>
  </si>
  <si>
    <t>ZOM-10199</t>
  </si>
  <si>
    <t>â‚¹667.82</t>
  </si>
  <si>
    <t>ZOM-10200</t>
  </si>
  <si>
    <t>ZOM-10201</t>
  </si>
  <si>
    <t>ZOM-10202</t>
  </si>
  <si>
    <t>ZOM-10203</t>
  </si>
  <si>
    <t xml:space="preserve">  Behrouz Biryani  </t>
  </si>
  <si>
    <t>ZOM-10204</t>
  </si>
  <si>
    <t>South Indian, South Indian</t>
  </si>
  <si>
    <t>â‚¹1219.96</t>
  </si>
  <si>
    <t>â‚¹72.25</t>
  </si>
  <si>
    <t>ZOM-10205</t>
  </si>
  <si>
    <t>22/04/2024</t>
  </si>
  <si>
    <t xml:space="preserve">  Burger King  </t>
  </si>
  <si>
    <t>â‚¹1172.1</t>
  </si>
  <si>
    <t>â‚¹-1.28</t>
  </si>
  <si>
    <t>ZOM-10206</t>
  </si>
  <si>
    <t>ZOM-10207</t>
  </si>
  <si>
    <t>ZOM-10208</t>
  </si>
  <si>
    <t>70 mins</t>
  </si>
  <si>
    <t>ZOM-10209</t>
  </si>
  <si>
    <t>ORD_132</t>
  </si>
  <si>
    <t>ZOM-10211</t>
  </si>
  <si>
    <t>BIKANERVALA</t>
  </si>
  <si>
    <t>â‚¹-79.48</t>
  </si>
  <si>
    <t>ZOM-10212</t>
  </si>
  <si>
    <t>ORD_123</t>
  </si>
  <si>
    <t>ZOM-10215</t>
  </si>
  <si>
    <t>ZOM-10216</t>
  </si>
  <si>
    <t>ZOM-10217</t>
  </si>
  <si>
    <t>ZOM-10218</t>
  </si>
  <si>
    <t>ZOM-10219</t>
  </si>
  <si>
    <t>ORD_136</t>
  </si>
  <si>
    <t>ZOM-10221</t>
  </si>
  <si>
    <t>barbeque nation</t>
  </si>
  <si>
    <t>â‚¹10.3</t>
  </si>
  <si>
    <t>ZOM-10222</t>
  </si>
  <si>
    <t>â‚¹1254.93</t>
  </si>
  <si>
    <t>ZOM-10223</t>
  </si>
  <si>
    <t>South Indian, Chinese</t>
  </si>
  <si>
    <t>ZOM-10224</t>
  </si>
  <si>
    <t xml:space="preserve">Bangalore </t>
  </si>
  <si>
    <t>ZOM-10226</t>
  </si>
  <si>
    <t>23/06/2024</t>
  </si>
  <si>
    <t>ZOM-10227</t>
  </si>
  <si>
    <t>ZOM-10228</t>
  </si>
  <si>
    <t>ZOM-10229</t>
  </si>
  <si>
    <t>ZOM-10230</t>
  </si>
  <si>
    <t>14/05/2024</t>
  </si>
  <si>
    <t>ZOM-10231</t>
  </si>
  <si>
    <t>ZOM-10232</t>
  </si>
  <si>
    <t>delhi</t>
  </si>
  <si>
    <t>ZOM-10233</t>
  </si>
  <si>
    <t>â‚¹1585.36</t>
  </si>
  <si>
    <t>ZOM-10234</t>
  </si>
  <si>
    <t>ZOM-10236</t>
  </si>
  <si>
    <t>17/03/2024</t>
  </si>
  <si>
    <t xml:space="preserve">  KFC  </t>
  </si>
  <si>
    <t>Fast Food, Italian</t>
  </si>
  <si>
    <t>ZOM-10237</t>
  </si>
  <si>
    <t>ZOM-10238</t>
  </si>
  <si>
    <t>ZOM-10239</t>
  </si>
  <si>
    <t>PARADISE BIRYANI</t>
  </si>
  <si>
    <t>26 mins</t>
  </si>
  <si>
    <t>ZOM-10240</t>
  </si>
  <si>
    <t>ORD_109</t>
  </si>
  <si>
    <t>ZOM-10242</t>
  </si>
  <si>
    <t>CHAI POINT</t>
  </si>
  <si>
    <t>ZOM-10243</t>
  </si>
  <si>
    <t>ZOMATO VALET</t>
  </si>
  <si>
    <t>ZOM-10244</t>
  </si>
  <si>
    <t>wow! momo</t>
  </si>
  <si>
    <t>ZOM-10245</t>
  </si>
  <si>
    <t>ZOM-10247</t>
  </si>
  <si>
    <t>Bakery, Street Food</t>
  </si>
  <si>
    <t>ZOM-10248</t>
  </si>
  <si>
    <t>ZOM-10249</t>
  </si>
  <si>
    <t>25/02/2024</t>
  </si>
  <si>
    <t>ZOM-10250</t>
  </si>
  <si>
    <t>64 mins</t>
  </si>
  <si>
    <t>ZOM-10251</t>
  </si>
  <si>
    <t>ZOM-10252</t>
  </si>
  <si>
    <t>ZOM-10253</t>
  </si>
  <si>
    <t>â‚¹379.86</t>
  </si>
  <si>
    <t>ZOM-10254</t>
  </si>
  <si>
    <t>15 mins</t>
  </si>
  <si>
    <t>ZOM-10255</t>
  </si>
  <si>
    <t>ZOM-10256</t>
  </si>
  <si>
    <t>â‚¹19.35</t>
  </si>
  <si>
    <t>ZOM-10258</t>
  </si>
  <si>
    <t>19/05/2024</t>
  </si>
  <si>
    <t>italian</t>
  </si>
  <si>
    <t>ZOM-10259</t>
  </si>
  <si>
    <t>ZOM-10260</t>
  </si>
  <si>
    <t>ZOM-10261</t>
  </si>
  <si>
    <t>ZOM-10262</t>
  </si>
  <si>
    <t>â‚¹236.74</t>
  </si>
  <si>
    <t>ZOM-10263</t>
  </si>
  <si>
    <t>ZOM-10264</t>
  </si>
  <si>
    <t>â‚¹680.77</t>
  </si>
  <si>
    <t>ZOM-10265</t>
  </si>
  <si>
    <t>30/03/2024</t>
  </si>
  <si>
    <t>ZOM-10266</t>
  </si>
  <si>
    <t>ZOM-10267</t>
  </si>
  <si>
    <t>â‚¹2088.69</t>
  </si>
  <si>
    <t>ZOM-10268</t>
  </si>
  <si>
    <t>ZOM-10269</t>
  </si>
  <si>
    <t>ZOM-10270</t>
  </si>
  <si>
    <t>35 mins</t>
  </si>
  <si>
    <t>ZOM-10271</t>
  </si>
  <si>
    <t>ZOM-10272</t>
  </si>
  <si>
    <t>31/03/2024</t>
  </si>
  <si>
    <t>ZOM-10273</t>
  </si>
  <si>
    <t>ZOM-10274</t>
  </si>
  <si>
    <t>â‚¹797.8</t>
  </si>
  <si>
    <t>ZOM-10275</t>
  </si>
  <si>
    <t>23 mins</t>
  </si>
  <si>
    <t>ZOM-10276</t>
  </si>
  <si>
    <t>ZOM-10277</t>
  </si>
  <si>
    <t>15/03/2024</t>
  </si>
  <si>
    <t>ZOM-10278</t>
  </si>
  <si>
    <t>47 mins</t>
  </si>
  <si>
    <t>ZOM-10280</t>
  </si>
  <si>
    <t>27/05/2024</t>
  </si>
  <si>
    <t>â‚¹1254.8</t>
  </si>
  <si>
    <t>ZOM-10281</t>
  </si>
  <si>
    <t>â‚¹1133.17</t>
  </si>
  <si>
    <t>ZOM-10282</t>
  </si>
  <si>
    <t>ZOM-10283</t>
  </si>
  <si>
    <t>ZOM-10285</t>
  </si>
  <si>
    <t>North Indian, Biryani</t>
  </si>
  <si>
    <t>â‚¹772.53</t>
  </si>
  <si>
    <t>ZOM-10286</t>
  </si>
  <si>
    <t>ZOM-10288</t>
  </si>
  <si>
    <t>ZOM-10289</t>
  </si>
  <si>
    <t>ZOM-10290</t>
  </si>
  <si>
    <t>ZOM-10291</t>
  </si>
  <si>
    <t>ZOM-10292</t>
  </si>
  <si>
    <t>Italian, Italian</t>
  </si>
  <si>
    <t>ZOM-10293</t>
  </si>
  <si>
    <t>ZOM-10294</t>
  </si>
  <si>
    <t>â‚¹1151.58</t>
  </si>
  <si>
    <t>ZOM-10295</t>
  </si>
  <si>
    <t>ZOM-10296</t>
  </si>
  <si>
    <t>ZOM-10297</t>
  </si>
  <si>
    <t>Fast Food, Desserts</t>
  </si>
  <si>
    <t>â‚¹75.73</t>
  </si>
  <si>
    <t>ZOM-10298</t>
  </si>
  <si>
    <t>ZOM-10299</t>
  </si>
  <si>
    <t>ZOM-10300</t>
  </si>
  <si>
    <t>25/04/2024</t>
  </si>
  <si>
    <t>ZOM-10301</t>
  </si>
  <si>
    <t>ZOM-10302</t>
  </si>
  <si>
    <t>72 mins</t>
  </si>
  <si>
    <t>ZOM-10303</t>
  </si>
  <si>
    <t>ZOM-10304</t>
  </si>
  <si>
    <t>ZOM-10305</t>
  </si>
  <si>
    <t>ZOM-10306</t>
  </si>
  <si>
    <t>15/01/2024</t>
  </si>
  <si>
    <t>ZOM-10307</t>
  </si>
  <si>
    <t>ZOM-10308</t>
  </si>
  <si>
    <t>ZOM-10309</t>
  </si>
  <si>
    <t>mughlai</t>
  </si>
  <si>
    <t>ZOM-10310</t>
  </si>
  <si>
    <t>CANCELLED</t>
  </si>
  <si>
    <t>ZOM-10311</t>
  </si>
  <si>
    <t>ZOM-10312</t>
  </si>
  <si>
    <t>ZOM-10313</t>
  </si>
  <si>
    <t>North Indian, Chinese</t>
  </si>
  <si>
    <t>ZOM-10314</t>
  </si>
  <si>
    <t>W0w! M0m0</t>
  </si>
  <si>
    <t>ZOM-10315</t>
  </si>
  <si>
    <t>15/05/2024</t>
  </si>
  <si>
    <t>ZOM-10316</t>
  </si>
  <si>
    <t>34 mins</t>
  </si>
  <si>
    <t>DUNZO</t>
  </si>
  <si>
    <t>ZOM-10317</t>
  </si>
  <si>
    <t>ZOM-10318</t>
  </si>
  <si>
    <t>ZOM-10319</t>
  </si>
  <si>
    <t>ZOM-10320</t>
  </si>
  <si>
    <t>28/06/2024</t>
  </si>
  <si>
    <t>ZOM-10321</t>
  </si>
  <si>
    <t>ZOM-10322</t>
  </si>
  <si>
    <t>ZOM-10323</t>
  </si>
  <si>
    <t>ZOM-10324</t>
  </si>
  <si>
    <t>ZOM-10325</t>
  </si>
  <si>
    <t>ZOM-10326</t>
  </si>
  <si>
    <t>ZOM-10327</t>
  </si>
  <si>
    <t>ZOM-10328</t>
  </si>
  <si>
    <t>ZOM-10329</t>
  </si>
  <si>
    <t>ZOM-10330</t>
  </si>
  <si>
    <t>â‚¹1949.5</t>
  </si>
  <si>
    <t>ZOM-10331</t>
  </si>
  <si>
    <t>Fast Food, Biryani</t>
  </si>
  <si>
    <t>ZOM-10332</t>
  </si>
  <si>
    <t>19/07/2024</t>
  </si>
  <si>
    <t>ZOM-10333</t>
  </si>
  <si>
    <t>14/07/2024</t>
  </si>
  <si>
    <t>ZOM-10334</t>
  </si>
  <si>
    <t>â‚¹2229.85</t>
  </si>
  <si>
    <t>ZOM-10335</t>
  </si>
  <si>
    <t>ZOM-10336</t>
  </si>
  <si>
    <t>ZOM-10337</t>
  </si>
  <si>
    <t>BEHROUZ BIRYANI</t>
  </si>
  <si>
    <t>ZOM-10338</t>
  </si>
  <si>
    <t>ZOM-10339</t>
  </si>
  <si>
    <t>ZOM-10340</t>
  </si>
  <si>
    <t>19/06/2024</t>
  </si>
  <si>
    <t>ZOM-10341</t>
  </si>
  <si>
    <t>ZOM-10342</t>
  </si>
  <si>
    <t>ZOM-10343</t>
  </si>
  <si>
    <t>â‚¹2222.16</t>
  </si>
  <si>
    <t>ZOM-10344</t>
  </si>
  <si>
    <t>29 mins</t>
  </si>
  <si>
    <t>ZOM-10345</t>
  </si>
  <si>
    <t>credit card</t>
  </si>
  <si>
    <t>ZOM-10346</t>
  </si>
  <si>
    <t>â‚¹237.2</t>
  </si>
  <si>
    <t>ZOM-10347</t>
  </si>
  <si>
    <t xml:space="preserve">  Subway  </t>
  </si>
  <si>
    <t>ZOM-10348</t>
  </si>
  <si>
    <t>North Indian, Bakery</t>
  </si>
  <si>
    <t>â‚¹801.91</t>
  </si>
  <si>
    <t>ZOM-10349</t>
  </si>
  <si>
    <t>street food</t>
  </si>
  <si>
    <t>ZOM-10350</t>
  </si>
  <si>
    <t>ZOM-10351</t>
  </si>
  <si>
    <t>ZOM-10352</t>
  </si>
  <si>
    <t>ZOM-10353</t>
  </si>
  <si>
    <t>â‚¹1630.9</t>
  </si>
  <si>
    <t>ZOM-10354</t>
  </si>
  <si>
    <t>ZOM-10355</t>
  </si>
  <si>
    <t>Calcutta</t>
  </si>
  <si>
    <t>Desserts, Desserts</t>
  </si>
  <si>
    <t>delvrd</t>
  </si>
  <si>
    <t>ZOM-10356</t>
  </si>
  <si>
    <t>ZOM-10357</t>
  </si>
  <si>
    <t>ZOM-10358</t>
  </si>
  <si>
    <t>ZOM-10359</t>
  </si>
  <si>
    <t>ZOM-10360</t>
  </si>
  <si>
    <t>21/06/2024</t>
  </si>
  <si>
    <t>ZOM-10361</t>
  </si>
  <si>
    <t>ZOM-10362</t>
  </si>
  <si>
    <t>Fast Food, Fast Food</t>
  </si>
  <si>
    <t>â‚¹441.18</t>
  </si>
  <si>
    <t>ZOM-10364</t>
  </si>
  <si>
    <t>15/06/2024</t>
  </si>
  <si>
    <t>ZOM-10365</t>
  </si>
  <si>
    <t>ZOM-10366</t>
  </si>
  <si>
    <t>ZOM-10367</t>
  </si>
  <si>
    <t>ZOM-10368</t>
  </si>
  <si>
    <t>South Indian, North Indian</t>
  </si>
  <si>
    <t>lucknow</t>
  </si>
  <si>
    <t>ZOM-10370</t>
  </si>
  <si>
    <t>ZOM-10371</t>
  </si>
  <si>
    <t>â‚¹922.49</t>
  </si>
  <si>
    <t>ZOM-10372</t>
  </si>
  <si>
    <t>ZOM-10373</t>
  </si>
  <si>
    <t>16/04/2024</t>
  </si>
  <si>
    <t>â‚¹1750.5</t>
  </si>
  <si>
    <t>ZOM-10374</t>
  </si>
  <si>
    <t>ZOM-10375</t>
  </si>
  <si>
    <t>Bakery, Chinese</t>
  </si>
  <si>
    <t>â‚¹593.89</t>
  </si>
  <si>
    <t>ZOM-10376</t>
  </si>
  <si>
    <t>ZOM-10377</t>
  </si>
  <si>
    <t>ZOM-10378</t>
  </si>
  <si>
    <t>ZOM-10379</t>
  </si>
  <si>
    <t>ZOM-10380</t>
  </si>
  <si>
    <t>ZOM-10381</t>
  </si>
  <si>
    <t>ZOM-10382</t>
  </si>
  <si>
    <t>ZOM-10383</t>
  </si>
  <si>
    <t>ZOM-10384</t>
  </si>
  <si>
    <t>16/01/2024</t>
  </si>
  <si>
    <t>ZOM-10385</t>
  </si>
  <si>
    <t>ZOM-10386</t>
  </si>
  <si>
    <t>Chinese, Fast Food</t>
  </si>
  <si>
    <t>ZOM-10387</t>
  </si>
  <si>
    <t>â‚¹1418.95</t>
  </si>
  <si>
    <t>ORD_116</t>
  </si>
  <si>
    <t>ZOM-10389</t>
  </si>
  <si>
    <t>ZOM-10390</t>
  </si>
  <si>
    <t>ZOM-10391</t>
  </si>
  <si>
    <t>ZOM-10392</t>
  </si>
  <si>
    <t>ZOM-10393</t>
  </si>
  <si>
    <t>ZOM-10394</t>
  </si>
  <si>
    <t>Italian, North Indian</t>
  </si>
  <si>
    <t>ZOM-10395</t>
  </si>
  <si>
    <t>ZOM-10396</t>
  </si>
  <si>
    <t>ZOM-10397</t>
  </si>
  <si>
    <t>17/07/2024</t>
  </si>
  <si>
    <t>ZOM-10398</t>
  </si>
  <si>
    <t>ZOM-10399</t>
  </si>
  <si>
    <t>â‚¹126.9</t>
  </si>
  <si>
    <t>ZOM-10400</t>
  </si>
  <si>
    <t>ZOM-10401</t>
  </si>
  <si>
    <t>13/02/2024</t>
  </si>
  <si>
    <t>ZOM-10402</t>
  </si>
  <si>
    <t>ZOM-10403</t>
  </si>
  <si>
    <t>27/03/2024</t>
  </si>
  <si>
    <t>ZOM-10404</t>
  </si>
  <si>
    <t>ZOM-10405</t>
  </si>
  <si>
    <t>ZOM-10406</t>
  </si>
  <si>
    <t>ZOM-10407</t>
  </si>
  <si>
    <t>ZOM-10408</t>
  </si>
  <si>
    <t>â‚¹2324.64</t>
  </si>
  <si>
    <t>ZOM-10409</t>
  </si>
  <si>
    <t>ZOM-10410</t>
  </si>
  <si>
    <t>ZOM-10411</t>
  </si>
  <si>
    <t>ZOM-10412</t>
  </si>
  <si>
    <t>ZOM-10413</t>
  </si>
  <si>
    <t>ZOM-10414</t>
  </si>
  <si>
    <t>ZOM-10415</t>
  </si>
  <si>
    <t>16 mins</t>
  </si>
  <si>
    <t>ZOM-10416</t>
  </si>
  <si>
    <t>â‚¹380.56</t>
  </si>
  <si>
    <t>18/03/2024</t>
  </si>
  <si>
    <t>ZOM-10418</t>
  </si>
  <si>
    <t>20 mins</t>
  </si>
  <si>
    <t>ZOM-10419</t>
  </si>
  <si>
    <t>ZOM-10420</t>
  </si>
  <si>
    <t>22/01/2024</t>
  </si>
  <si>
    <t>â‚¹197.07</t>
  </si>
  <si>
    <t>ZOM-10421</t>
  </si>
  <si>
    <t>ZOM-10422</t>
  </si>
  <si>
    <t>ZOM-10423</t>
  </si>
  <si>
    <t>ZOM-10424</t>
  </si>
  <si>
    <t>ZOM-10425</t>
  </si>
  <si>
    <t>44 mins</t>
  </si>
  <si>
    <t>ZOM-10426</t>
  </si>
  <si>
    <t>18/07/2024</t>
  </si>
  <si>
    <t>â‚¹502.5</t>
  </si>
  <si>
    <t>ZOM-10427</t>
  </si>
  <si>
    <t>â‚¹1701.71</t>
  </si>
  <si>
    <t>ZOM-10428</t>
  </si>
  <si>
    <t>22/05/2024</t>
  </si>
  <si>
    <t>ZOM-10429</t>
  </si>
  <si>
    <t>16/05/2024</t>
  </si>
  <si>
    <t>ZOM-10430</t>
  </si>
  <si>
    <t>â‚¹1958.31</t>
  </si>
  <si>
    <t>ZOM-10431</t>
  </si>
  <si>
    <t>36 mins</t>
  </si>
  <si>
    <t>ZOM-10432</t>
  </si>
  <si>
    <t>ORD_150</t>
  </si>
  <si>
    <t>ZOM-10434</t>
  </si>
  <si>
    <t>ZOM-10435</t>
  </si>
  <si>
    <t>ZOM-10436</t>
  </si>
  <si>
    <t>19/04/2024</t>
  </si>
  <si>
    <t>ZOM-10437</t>
  </si>
  <si>
    <t>ZOM-10438</t>
  </si>
  <si>
    <t>ZOM-10439</t>
  </si>
  <si>
    <t>ZOM-10440</t>
  </si>
  <si>
    <t>â‚¹1645.94</t>
  </si>
  <si>
    <t>ORD_148</t>
  </si>
  <si>
    <t>ZOM-10442</t>
  </si>
  <si>
    <t>20/04/2024</t>
  </si>
  <si>
    <t>â‚¹1980.18</t>
  </si>
  <si>
    <t>ZOM-10443</t>
  </si>
  <si>
    <t>26/04/2024</t>
  </si>
  <si>
    <t>46 mins</t>
  </si>
  <si>
    <t>ZOM-10444</t>
  </si>
  <si>
    <t>â‚¹1495.59</t>
  </si>
  <si>
    <t>ZOM-10445</t>
  </si>
  <si>
    <t>â‚¹134.87</t>
  </si>
  <si>
    <t>ZOM-10446</t>
  </si>
  <si>
    <t>ZOM-10447</t>
  </si>
  <si>
    <t>ZOM-10448</t>
  </si>
  <si>
    <t>ZOM-10449</t>
  </si>
  <si>
    <t>ZOM-10450</t>
  </si>
  <si>
    <t>North Indian, Mughlai</t>
  </si>
  <si>
    <t>ZOM-10452</t>
  </si>
  <si>
    <t>ZOM-10453</t>
  </si>
  <si>
    <t>ZOM-10454</t>
  </si>
  <si>
    <t>ZOM-10455</t>
  </si>
  <si>
    <t>ZOM-10456</t>
  </si>
  <si>
    <t>ZOM-10457</t>
  </si>
  <si>
    <t>south indian</t>
  </si>
  <si>
    <t>ZOM-10458</t>
  </si>
  <si>
    <t>ZOM-10459</t>
  </si>
  <si>
    <t>ZOM-10460</t>
  </si>
  <si>
    <t>ZOM-10461</t>
  </si>
  <si>
    <t>27/06/2024</t>
  </si>
  <si>
    <t>ZOM-10463</t>
  </si>
  <si>
    <t>ZOM-10464</t>
  </si>
  <si>
    <t>IN-HOUSE</t>
  </si>
  <si>
    <t>ZOM-10465</t>
  </si>
  <si>
    <t>P@r@dise Biry@ni</t>
  </si>
  <si>
    <t>ZOM-10466</t>
  </si>
  <si>
    <t>ZOM-10467</t>
  </si>
  <si>
    <t>ZOM-10468</t>
  </si>
  <si>
    <t>ZOM-10469</t>
  </si>
  <si>
    <t>ZOM-10470</t>
  </si>
  <si>
    <t>ZOM-10471</t>
  </si>
  <si>
    <t>ZOM-10472</t>
  </si>
  <si>
    <t>Italian, Desserts</t>
  </si>
  <si>
    <t>ZOM-10473</t>
  </si>
  <si>
    <t>ZOM-10474</t>
  </si>
  <si>
    <t>ZOM-10475</t>
  </si>
  <si>
    <t>ZOM-10476</t>
  </si>
  <si>
    <t>29/06/2024</t>
  </si>
  <si>
    <t>ZOM-10477</t>
  </si>
  <si>
    <t>65 mins</t>
  </si>
  <si>
    <t>ZOM-10479</t>
  </si>
  <si>
    <t>18/05/2024</t>
  </si>
  <si>
    <t>ZOM-10480</t>
  </si>
  <si>
    <t>ZOM-10481</t>
  </si>
  <si>
    <t>ZOM-10482</t>
  </si>
  <si>
    <t>ZOM-10483</t>
  </si>
  <si>
    <t>â‚¹62.38</t>
  </si>
  <si>
    <t>ZOM-10484</t>
  </si>
  <si>
    <t>ZOM-10485</t>
  </si>
  <si>
    <t>â‚¹20.86</t>
  </si>
  <si>
    <t>ZOM-10486</t>
  </si>
  <si>
    <t>â‚¹-17.78</t>
  </si>
  <si>
    <t>ZOM-10487</t>
  </si>
  <si>
    <t>ZOM-10488</t>
  </si>
  <si>
    <t>ZOM-10489</t>
  </si>
  <si>
    <t>ZOM-10490</t>
  </si>
  <si>
    <t>ZOM-10491</t>
  </si>
  <si>
    <t>ZOM-10492</t>
  </si>
  <si>
    <t>ZOM-10493</t>
  </si>
  <si>
    <t>16/03/2024</t>
  </si>
  <si>
    <t>ZOM-10494</t>
  </si>
  <si>
    <t>29/03/2024</t>
  </si>
  <si>
    <t>ZOM-10495</t>
  </si>
  <si>
    <t>ZOM-10496</t>
  </si>
  <si>
    <t>ZOM-10497</t>
  </si>
  <si>
    <t>ZOM-10498</t>
  </si>
  <si>
    <t>ZOM-10499</t>
  </si>
  <si>
    <t>ZOM-10500</t>
  </si>
  <si>
    <t>â‚¹180.48</t>
  </si>
  <si>
    <t>Order_time</t>
  </si>
  <si>
    <t>ZOM-117</t>
  </si>
  <si>
    <t>Upi</t>
  </si>
  <si>
    <t>Failed</t>
  </si>
  <si>
    <t>In-House</t>
  </si>
  <si>
    <t>Cash On Delivery</t>
  </si>
  <si>
    <t>Not Known</t>
  </si>
  <si>
    <t>Kfc</t>
  </si>
  <si>
    <t>Unknown</t>
  </si>
  <si>
    <t>Pending</t>
  </si>
  <si>
    <t>ZOM-113</t>
  </si>
  <si>
    <t>Not Kown</t>
  </si>
  <si>
    <t>ZOM-121</t>
  </si>
  <si>
    <t>Unkown</t>
  </si>
  <si>
    <t>ZOM-140</t>
  </si>
  <si>
    <t>ZOM-145</t>
  </si>
  <si>
    <t>Cod</t>
  </si>
  <si>
    <t>ZOM-101</t>
  </si>
  <si>
    <t>ZOM-133</t>
  </si>
  <si>
    <t>ZOM-146</t>
  </si>
  <si>
    <t>ZOM-143</t>
  </si>
  <si>
    <t>ZOM-132</t>
  </si>
  <si>
    <t>ZOM-123</t>
  </si>
  <si>
    <t>ZOM-136</t>
  </si>
  <si>
    <t>ZOM-109</t>
  </si>
  <si>
    <t>W0W! M0M0</t>
  </si>
  <si>
    <t>ZOM-116</t>
  </si>
  <si>
    <t>BaRbeque NaTi0N</t>
  </si>
  <si>
    <t>BikaNervaLa</t>
  </si>
  <si>
    <t>ChaI P0Int</t>
  </si>
  <si>
    <t>Behr0Uz BiryaNi</t>
  </si>
  <si>
    <t>D0Min0S Pizza</t>
  </si>
  <si>
    <t>SubwaY</t>
  </si>
  <si>
    <t>PaRaDise BiryaNi</t>
  </si>
  <si>
    <t>Haldiram</t>
  </si>
  <si>
    <t>HaLdiraM</t>
  </si>
  <si>
    <t>ZOMATO SALES PIVOT SUMMARIES</t>
  </si>
  <si>
    <t>Row Labels</t>
  </si>
  <si>
    <t>Grand Total</t>
  </si>
  <si>
    <t>Sum of Profit</t>
  </si>
  <si>
    <t>Average of Rating</t>
  </si>
  <si>
    <t>TOTAL ORDER KPI's</t>
  </si>
  <si>
    <t>TOTAL PROFIT KPI's</t>
  </si>
  <si>
    <t>AVERAGE DISCOUNT KPI's</t>
  </si>
  <si>
    <t>AVERAGE RATING KPI's</t>
  </si>
  <si>
    <t>TOTAL ITEMS KPI's</t>
  </si>
  <si>
    <t>Average Delivery_Time</t>
  </si>
  <si>
    <t>ZOMATO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</si>
</sst>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dd/mm/yyyy"/>
  </numFmts>
  <fonts count="22"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20"/>
      <color theme="9" tint="0.79998168889431442"/>
      <name val="Gill Sans MT"/>
      <family val="2"/>
      <scheme val="minor"/>
    </font>
    <font>
      <sz val="22"/>
      <color theme="1" tint="4.9989318521683403E-2"/>
      <name val="Algerian"/>
      <family val="5"/>
    </font>
    <font>
      <b/>
      <sz val="12"/>
      <color theme="1" tint="4.9989318521683403E-2"/>
      <name val="Agency FB"/>
      <family val="2"/>
    </font>
    <font>
      <b/>
      <sz val="12"/>
      <color theme="1"/>
      <name val="Agency FB"/>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9" fontId="0" fillId="0" borderId="0" xfId="0" applyNumberFormat="1"/>
    <xf numFmtId="15" fontId="0" fillId="0" borderId="0" xfId="0" applyNumberFormat="1"/>
    <xf numFmtId="22" fontId="0" fillId="0" borderId="0" xfId="0" applyNumberFormat="1"/>
    <xf numFmtId="0" fontId="0" fillId="0" borderId="0" xfId="0" applyAlignment="1">
      <alignment horizontal="left" vertical="center"/>
    </xf>
    <xf numFmtId="164" fontId="0" fillId="0" borderId="0" xfId="0" applyNumberFormat="1" applyAlignment="1">
      <alignment horizontal="left" vertical="center"/>
    </xf>
    <xf numFmtId="165" fontId="0" fillId="0" borderId="0" xfId="0" applyNumberFormat="1"/>
    <xf numFmtId="165" fontId="0" fillId="0" borderId="0" xfId="0" applyNumberFormat="1" applyAlignment="1">
      <alignment horizontal="left" vertical="center"/>
    </xf>
    <xf numFmtId="0" fontId="0" fillId="0" borderId="0" xfId="0" pivotButton="1"/>
    <xf numFmtId="0" fontId="0" fillId="0" borderId="0" xfId="0" applyAlignment="1">
      <alignment horizontal="left"/>
    </xf>
    <xf numFmtId="2" fontId="0" fillId="0" borderId="0" xfId="0" applyNumberFormat="1"/>
    <xf numFmtId="0" fontId="21" fillId="34" borderId="0" xfId="0" applyFont="1" applyFill="1" applyAlignment="1">
      <alignment horizontal="center" vertical="center"/>
    </xf>
    <xf numFmtId="0" fontId="0" fillId="0" borderId="0" xfId="0" applyAlignment="1">
      <alignment horizontal="center"/>
    </xf>
    <xf numFmtId="0" fontId="19" fillId="34" borderId="0" xfId="0" applyFont="1" applyFill="1" applyAlignment="1">
      <alignment horizontal="center" vertical="center"/>
    </xf>
    <xf numFmtId="0" fontId="20" fillId="34" borderId="0" xfId="0" applyFont="1" applyFill="1" applyAlignment="1">
      <alignment horizontal="center" vertical="center"/>
    </xf>
    <xf numFmtId="2" fontId="21" fillId="34" borderId="0" xfId="0" applyNumberFormat="1" applyFont="1" applyFill="1" applyAlignment="1">
      <alignment horizontal="center" vertic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2" formatCode="0.00"/>
    </dxf>
    <dxf>
      <numFmt numFmtId="2" formatCode="0.00"/>
    </dxf>
    <dxf>
      <numFmt numFmtId="2" formatCode="0.00"/>
    </dxf>
    <dxf>
      <numFmt numFmtId="2" formatCode="0.0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164" formatCode="[$-F400]h:mm:ss\ AM/PM"/>
      <alignment horizontal="left" vertical="center" textRotation="0" wrapText="0" indent="0" justifyLastLine="0" shrinkToFit="0" readingOrder="0"/>
    </dxf>
    <dxf>
      <numFmt numFmtId="165" formatCode="dd/mm/yyyy"/>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[zomato_unclean_dataset_500.csv.xlsx]pivot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Average</a:t>
            </a:r>
            <a:r>
              <a:rPr lang="en-US" sz="1400" baseline="0">
                <a:solidFill>
                  <a:schemeClr val="tx1"/>
                </a:solidFill>
              </a:rPr>
              <a:t> delivery time by city</a:t>
            </a:r>
          </a:p>
        </c:rich>
      </c:tx>
      <c:layout>
        <c:manualLayout>
          <c:xMode val="edge"/>
          <c:yMode val="edge"/>
          <c:x val="0.25220549713547319"/>
          <c:y val="0.1813695603443177"/>
        </c:manualLayout>
      </c:layout>
      <c:overlay val="0"/>
      <c:spPr>
        <a:noFill/>
        <a:ln>
          <a:solidFill>
            <a:schemeClr val="accent1">
              <a:lumMod val="20000"/>
              <a:lumOff val="8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tables'!$F$5</c:f>
              <c:strCache>
                <c:ptCount val="1"/>
                <c:pt idx="0">
                  <c:v>Total</c:v>
                </c:pt>
              </c:strCache>
            </c:strRef>
          </c:tx>
          <c:spPr>
            <a:solidFill>
              <a:schemeClr val="accent1"/>
            </a:solidFill>
            <a:ln>
              <a:noFill/>
            </a:ln>
            <a:effectLst/>
            <a:sp3d/>
          </c:spPr>
          <c:invertIfNegative val="0"/>
          <c:cat>
            <c:strRef>
              <c:f>'pivot tables'!$E$6:$E$20</c:f>
              <c:strCache>
                <c:ptCount val="14"/>
                <c:pt idx="0">
                  <c:v>Ahmedabad</c:v>
                </c:pt>
                <c:pt idx="1">
                  <c:v>Bangalore</c:v>
                </c:pt>
                <c:pt idx="2">
                  <c:v>Bengaluru</c:v>
                </c:pt>
                <c:pt idx="3">
                  <c:v>Bombay</c:v>
                </c:pt>
                <c:pt idx="4">
                  <c:v>Calcutta</c:v>
                </c:pt>
                <c:pt idx="5">
                  <c:v>Chennai</c:v>
                </c:pt>
                <c:pt idx="6">
                  <c:v>Delhi</c:v>
                </c:pt>
                <c:pt idx="7">
                  <c:v>Hyderabad</c:v>
                </c:pt>
                <c:pt idx="8">
                  <c:v>Jaipur</c:v>
                </c:pt>
                <c:pt idx="9">
                  <c:v>Kolkata</c:v>
                </c:pt>
                <c:pt idx="10">
                  <c:v>Lucknow</c:v>
                </c:pt>
                <c:pt idx="11">
                  <c:v>Mumbai</c:v>
                </c:pt>
                <c:pt idx="12">
                  <c:v>Not Known</c:v>
                </c:pt>
                <c:pt idx="13">
                  <c:v>Pune</c:v>
                </c:pt>
              </c:strCache>
            </c:strRef>
          </c:cat>
          <c:val>
            <c:numRef>
              <c:f>'pivot tables'!$F$6:$F$20</c:f>
              <c:numCache>
                <c:formatCode>0.00</c:formatCode>
                <c:ptCount val="14"/>
                <c:pt idx="0">
                  <c:v>44.146341463414636</c:v>
                </c:pt>
                <c:pt idx="1">
                  <c:v>44.371428571428574</c:v>
                </c:pt>
                <c:pt idx="2">
                  <c:v>16</c:v>
                </c:pt>
                <c:pt idx="3">
                  <c:v>49.333333333333336</c:v>
                </c:pt>
                <c:pt idx="4">
                  <c:v>76</c:v>
                </c:pt>
                <c:pt idx="5">
                  <c:v>45.035714285714285</c:v>
                </c:pt>
                <c:pt idx="6">
                  <c:v>41.921052631578945</c:v>
                </c:pt>
                <c:pt idx="7">
                  <c:v>43.45945945945946</c:v>
                </c:pt>
                <c:pt idx="8">
                  <c:v>43.826086956521742</c:v>
                </c:pt>
                <c:pt idx="9">
                  <c:v>47.456521739130437</c:v>
                </c:pt>
                <c:pt idx="10">
                  <c:v>48.583333333333336</c:v>
                </c:pt>
                <c:pt idx="11">
                  <c:v>43.736842105263158</c:v>
                </c:pt>
                <c:pt idx="12">
                  <c:v>36.799999999999997</c:v>
                </c:pt>
                <c:pt idx="13">
                  <c:v>37.594594594594597</c:v>
                </c:pt>
              </c:numCache>
            </c:numRef>
          </c:val>
          <c:extLst>
            <c:ext xmlns:c16="http://schemas.microsoft.com/office/drawing/2014/chart" uri="{C3380CC4-5D6E-409C-BE32-E72D297353CC}">
              <c16:uniqueId val="{00000000-2813-4675-8120-5735E97FF61D}"/>
            </c:ext>
          </c:extLst>
        </c:ser>
        <c:dLbls>
          <c:showLegendKey val="0"/>
          <c:showVal val="0"/>
          <c:showCatName val="0"/>
          <c:showSerName val="0"/>
          <c:showPercent val="0"/>
          <c:showBubbleSize val="0"/>
        </c:dLbls>
        <c:gapWidth val="150"/>
        <c:shape val="box"/>
        <c:axId val="1364351040"/>
        <c:axId val="711809584"/>
        <c:axId val="787809840"/>
      </c:bar3DChart>
      <c:catAx>
        <c:axId val="1364351040"/>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tx1"/>
                    </a:solidFill>
                  </a:rPr>
                  <a:t>City</a:t>
                </a:r>
              </a:p>
            </c:rich>
          </c:tx>
          <c:layout>
            <c:manualLayout>
              <c:xMode val="edge"/>
              <c:yMode val="edge"/>
              <c:x val="0.45617046501923336"/>
              <c:y val="0.7084164202960244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09584"/>
        <c:crosses val="autoZero"/>
        <c:auto val="1"/>
        <c:lblAlgn val="ctr"/>
        <c:lblOffset val="100"/>
        <c:noMultiLvlLbl val="0"/>
      </c:catAx>
      <c:valAx>
        <c:axId val="71180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solidFill>
                      <a:schemeClr val="tx1"/>
                    </a:solidFill>
                  </a:rPr>
                  <a:t>Delivery</a:t>
                </a:r>
                <a:r>
                  <a:rPr lang="en-US" sz="1400" baseline="0">
                    <a:solidFill>
                      <a:schemeClr val="tx1"/>
                    </a:solidFill>
                  </a:rPr>
                  <a:t> time</a:t>
                </a:r>
              </a:p>
            </c:rich>
          </c:tx>
          <c:layout>
            <c:manualLayout>
              <c:xMode val="edge"/>
              <c:yMode val="edge"/>
              <c:x val="3.4231847354464287E-2"/>
              <c:y val="0.2454227173036399"/>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351040"/>
        <c:crosses val="autoZero"/>
        <c:crossBetween val="between"/>
      </c:valAx>
      <c:serAx>
        <c:axId val="78780984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095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9176">
          <a:schemeClr val="accent1">
            <a:lumMod val="20000"/>
            <a:lumOff val="80000"/>
          </a:schemeClr>
        </a:gs>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114300" dist="50800" dir="5400000" algn="ctr" rotWithShape="0">
        <a:srgbClr val="000000">
          <a:alpha val="98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[zomato_unclean_dataset_500.csv.xlsx]pivot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Sum</a:t>
            </a:r>
            <a:r>
              <a:rPr lang="en-US" sz="1400" baseline="0">
                <a:solidFill>
                  <a:schemeClr val="tx1"/>
                </a:solidFill>
              </a:rPr>
              <a:t> of profit by city</a:t>
            </a:r>
            <a:endParaRPr lang="en-US" sz="1400">
              <a:solidFill>
                <a:schemeClr val="tx1"/>
              </a:solidFill>
            </a:endParaRPr>
          </a:p>
        </c:rich>
      </c:tx>
      <c:layout>
        <c:manualLayout>
          <c:xMode val="edge"/>
          <c:yMode val="edge"/>
          <c:x val="0.35577536326152004"/>
          <c:y val="0.120150139967206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tables'!$C$5</c:f>
              <c:strCache>
                <c:ptCount val="1"/>
                <c:pt idx="0">
                  <c:v>Total</c:v>
                </c:pt>
              </c:strCache>
            </c:strRef>
          </c:tx>
          <c:spPr>
            <a:solidFill>
              <a:schemeClr val="accent1"/>
            </a:solidFill>
            <a:ln>
              <a:noFill/>
            </a:ln>
            <a:effectLst/>
            <a:sp3d/>
          </c:spPr>
          <c:invertIfNegative val="0"/>
          <c:cat>
            <c:strRef>
              <c:f>'pivot tables'!$B$6:$B$20</c:f>
              <c:strCache>
                <c:ptCount val="14"/>
                <c:pt idx="0">
                  <c:v>Ahmedabad</c:v>
                </c:pt>
                <c:pt idx="1">
                  <c:v>Bangalore</c:v>
                </c:pt>
                <c:pt idx="2">
                  <c:v>Bengaluru</c:v>
                </c:pt>
                <c:pt idx="3">
                  <c:v>Bombay</c:v>
                </c:pt>
                <c:pt idx="4">
                  <c:v>Calcutta</c:v>
                </c:pt>
                <c:pt idx="5">
                  <c:v>Chennai</c:v>
                </c:pt>
                <c:pt idx="6">
                  <c:v>Delhi</c:v>
                </c:pt>
                <c:pt idx="7">
                  <c:v>Hyderabad</c:v>
                </c:pt>
                <c:pt idx="8">
                  <c:v>Jaipur</c:v>
                </c:pt>
                <c:pt idx="9">
                  <c:v>Kolkata</c:v>
                </c:pt>
                <c:pt idx="10">
                  <c:v>Lucknow</c:v>
                </c:pt>
                <c:pt idx="11">
                  <c:v>Mumbai</c:v>
                </c:pt>
                <c:pt idx="12">
                  <c:v>Not Known</c:v>
                </c:pt>
                <c:pt idx="13">
                  <c:v>Pune</c:v>
                </c:pt>
              </c:strCache>
            </c:strRef>
          </c:cat>
          <c:val>
            <c:numRef>
              <c:f>'pivot tables'!$C$6:$C$20</c:f>
              <c:numCache>
                <c:formatCode>General</c:formatCode>
                <c:ptCount val="14"/>
                <c:pt idx="0">
                  <c:v>2901.0099999999998</c:v>
                </c:pt>
                <c:pt idx="1">
                  <c:v>3080.04</c:v>
                </c:pt>
                <c:pt idx="2">
                  <c:v>126.35</c:v>
                </c:pt>
                <c:pt idx="3">
                  <c:v>351.5</c:v>
                </c:pt>
                <c:pt idx="4">
                  <c:v>11.54</c:v>
                </c:pt>
                <c:pt idx="5">
                  <c:v>2174.2999999999997</c:v>
                </c:pt>
                <c:pt idx="6">
                  <c:v>2824.7400000000007</c:v>
                </c:pt>
                <c:pt idx="7">
                  <c:v>2182.3800000000006</c:v>
                </c:pt>
                <c:pt idx="8">
                  <c:v>4000.8500000000004</c:v>
                </c:pt>
                <c:pt idx="9">
                  <c:v>3244.94</c:v>
                </c:pt>
                <c:pt idx="10">
                  <c:v>2881.8799999999997</c:v>
                </c:pt>
                <c:pt idx="11">
                  <c:v>2946.8500000000004</c:v>
                </c:pt>
                <c:pt idx="12">
                  <c:v>969.27</c:v>
                </c:pt>
                <c:pt idx="13">
                  <c:v>2807.670000000001</c:v>
                </c:pt>
              </c:numCache>
            </c:numRef>
          </c:val>
          <c:extLst>
            <c:ext xmlns:c16="http://schemas.microsoft.com/office/drawing/2014/chart" uri="{C3380CC4-5D6E-409C-BE32-E72D297353CC}">
              <c16:uniqueId val="{00000000-E222-43D0-A5AA-E5471CE9685D}"/>
            </c:ext>
          </c:extLst>
        </c:ser>
        <c:dLbls>
          <c:showLegendKey val="0"/>
          <c:showVal val="0"/>
          <c:showCatName val="0"/>
          <c:showSerName val="0"/>
          <c:showPercent val="0"/>
          <c:showBubbleSize val="0"/>
        </c:dLbls>
        <c:gapWidth val="150"/>
        <c:shape val="box"/>
        <c:axId val="778580048"/>
        <c:axId val="711832624"/>
        <c:axId val="0"/>
      </c:bar3DChart>
      <c:catAx>
        <c:axId val="778580048"/>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tx1"/>
                    </a:solidFill>
                  </a:rPr>
                  <a:t>City</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32624"/>
        <c:crosses val="autoZero"/>
        <c:auto val="1"/>
        <c:lblAlgn val="ctr"/>
        <c:lblOffset val="100"/>
        <c:noMultiLvlLbl val="0"/>
      </c:catAx>
      <c:valAx>
        <c:axId val="711832624"/>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tx1"/>
                    </a:solidFill>
                  </a:rPr>
                  <a:t>profit</a:t>
                </a:r>
              </a:p>
            </c:rich>
          </c:tx>
          <c:layout>
            <c:manualLayout>
              <c:xMode val="edge"/>
              <c:yMode val="edge"/>
              <c:x val="0.48066357090740447"/>
              <c:y val="0.8519364209790805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58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1143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[zomato_unclean_dataset_500.csv.xlsx]pivot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Sum</a:t>
            </a:r>
            <a:r>
              <a:rPr lang="en-US" baseline="0">
                <a:solidFill>
                  <a:schemeClr val="tx1"/>
                </a:solidFill>
              </a:rPr>
              <a:t> of Profit by Restaurant</a:t>
            </a:r>
            <a:endParaRPr lang="en-US">
              <a:solidFill>
                <a:schemeClr val="tx1"/>
              </a:solidFill>
            </a:endParaRPr>
          </a:p>
        </c:rich>
      </c:tx>
      <c:layout>
        <c:manualLayout>
          <c:xMode val="edge"/>
          <c:yMode val="edge"/>
          <c:x val="0.18640266841644798"/>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tables'!$L$5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15-4FDC-9A8C-663489E587D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15-4FDC-9A8C-663489E587D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815-4FDC-9A8C-663489E587D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15-4FDC-9A8C-663489E587D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815-4FDC-9A8C-663489E587D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815-4FDC-9A8C-663489E587D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815-4FDC-9A8C-663489E587D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815-4FDC-9A8C-663489E587D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815-4FDC-9A8C-663489E587D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815-4FDC-9A8C-663489E587D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815-4FDC-9A8C-663489E587D0}"/>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A815-4FDC-9A8C-663489E587D0}"/>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A815-4FDC-9A8C-663489E587D0}"/>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A815-4FDC-9A8C-663489E587D0}"/>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A815-4FDC-9A8C-663489E587D0}"/>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A815-4FDC-9A8C-663489E587D0}"/>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A815-4FDC-9A8C-663489E587D0}"/>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A815-4FDC-9A8C-663489E587D0}"/>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A815-4FDC-9A8C-663489E587D0}"/>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A815-4FDC-9A8C-663489E587D0}"/>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A815-4FDC-9A8C-663489E587D0}"/>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A815-4FDC-9A8C-663489E587D0}"/>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A815-4FDC-9A8C-663489E587D0}"/>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A815-4FDC-9A8C-663489E587D0}"/>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A815-4FDC-9A8C-663489E587D0}"/>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A815-4FDC-9A8C-663489E587D0}"/>
              </c:ext>
            </c:extLst>
          </c:dPt>
          <c:cat>
            <c:strRef>
              <c:f>'pivot tables'!$K$6:$K$32</c:f>
              <c:strCache>
                <c:ptCount val="26"/>
                <c:pt idx="0">
                  <c:v>  Barbeque Nation  </c:v>
                </c:pt>
                <c:pt idx="1">
                  <c:v>  Behrouz Biryani  </c:v>
                </c:pt>
                <c:pt idx="2">
                  <c:v>  Burger King  </c:v>
                </c:pt>
                <c:pt idx="3">
                  <c:v>  Chai Point  </c:v>
                </c:pt>
                <c:pt idx="4">
                  <c:v>  Dominos Pizza  </c:v>
                </c:pt>
                <c:pt idx="5">
                  <c:v>  Paradise Biryani  </c:v>
                </c:pt>
                <c:pt idx="6">
                  <c:v>  Subway  </c:v>
                </c:pt>
                <c:pt idx="7">
                  <c:v>  Wow! Momo  </c:v>
                </c:pt>
                <c:pt idx="8">
                  <c:v>BaRbeque NaTi0N</c:v>
                </c:pt>
                <c:pt idx="9">
                  <c:v>Barbeque Nation</c:v>
                </c:pt>
                <c:pt idx="10">
                  <c:v>Behr0Uz BiryaNi</c:v>
                </c:pt>
                <c:pt idx="11">
                  <c:v>Behrouz Biryani</c:v>
                </c:pt>
                <c:pt idx="12">
                  <c:v>Bikanervala</c:v>
                </c:pt>
                <c:pt idx="13">
                  <c:v>Burger King</c:v>
                </c:pt>
                <c:pt idx="14">
                  <c:v>ChaI P0Int</c:v>
                </c:pt>
                <c:pt idx="15">
                  <c:v>Chai Point</c:v>
                </c:pt>
                <c:pt idx="16">
                  <c:v>D0Min0S Pizza</c:v>
                </c:pt>
                <c:pt idx="17">
                  <c:v>Dominos Pizza</c:v>
                </c:pt>
                <c:pt idx="18">
                  <c:v>Faasos</c:v>
                </c:pt>
                <c:pt idx="19">
                  <c:v>Haldiram</c:v>
                </c:pt>
                <c:pt idx="20">
                  <c:v>Kfc</c:v>
                </c:pt>
                <c:pt idx="21">
                  <c:v>Not Kown</c:v>
                </c:pt>
                <c:pt idx="22">
                  <c:v>Paradise Biryani</c:v>
                </c:pt>
                <c:pt idx="23">
                  <c:v>Subway</c:v>
                </c:pt>
                <c:pt idx="24">
                  <c:v>W0W! M0M0</c:v>
                </c:pt>
                <c:pt idx="25">
                  <c:v>Wow! Momo</c:v>
                </c:pt>
              </c:strCache>
            </c:strRef>
          </c:cat>
          <c:val>
            <c:numRef>
              <c:f>'pivot tables'!$L$6:$L$32</c:f>
              <c:numCache>
                <c:formatCode>General</c:formatCode>
                <c:ptCount val="26"/>
                <c:pt idx="0">
                  <c:v>157.12</c:v>
                </c:pt>
                <c:pt idx="1">
                  <c:v>352.2</c:v>
                </c:pt>
                <c:pt idx="2">
                  <c:v>146.91</c:v>
                </c:pt>
                <c:pt idx="3">
                  <c:v>104.57000000000001</c:v>
                </c:pt>
                <c:pt idx="4">
                  <c:v>379.63</c:v>
                </c:pt>
                <c:pt idx="5">
                  <c:v>22.230000000000004</c:v>
                </c:pt>
                <c:pt idx="6">
                  <c:v>190.11</c:v>
                </c:pt>
                <c:pt idx="7">
                  <c:v>537.91999999999996</c:v>
                </c:pt>
                <c:pt idx="8">
                  <c:v>51.89</c:v>
                </c:pt>
                <c:pt idx="9">
                  <c:v>2920.6299999999997</c:v>
                </c:pt>
                <c:pt idx="10">
                  <c:v>-48.37</c:v>
                </c:pt>
                <c:pt idx="11">
                  <c:v>2125.16</c:v>
                </c:pt>
                <c:pt idx="12">
                  <c:v>1358.0600000000002</c:v>
                </c:pt>
                <c:pt idx="13">
                  <c:v>1408.2799999999997</c:v>
                </c:pt>
                <c:pt idx="14">
                  <c:v>170.2</c:v>
                </c:pt>
                <c:pt idx="15">
                  <c:v>2498.2800000000002</c:v>
                </c:pt>
                <c:pt idx="16">
                  <c:v>111.56</c:v>
                </c:pt>
                <c:pt idx="17">
                  <c:v>2372.2000000000003</c:v>
                </c:pt>
                <c:pt idx="18">
                  <c:v>1391.8500000000001</c:v>
                </c:pt>
                <c:pt idx="19">
                  <c:v>1562.0700000000002</c:v>
                </c:pt>
                <c:pt idx="20">
                  <c:v>2530.360000000001</c:v>
                </c:pt>
                <c:pt idx="21">
                  <c:v>1667.5299999999995</c:v>
                </c:pt>
                <c:pt idx="22">
                  <c:v>2277.9700000000003</c:v>
                </c:pt>
                <c:pt idx="23">
                  <c:v>3855.7300000000005</c:v>
                </c:pt>
                <c:pt idx="24">
                  <c:v>184.09</c:v>
                </c:pt>
                <c:pt idx="25">
                  <c:v>2175.1400000000003</c:v>
                </c:pt>
              </c:numCache>
            </c:numRef>
          </c:val>
          <c:extLst>
            <c:ext xmlns:c16="http://schemas.microsoft.com/office/drawing/2014/chart" uri="{C3380CC4-5D6E-409C-BE32-E72D297353CC}">
              <c16:uniqueId val="{00000034-A815-4FDC-9A8C-663489E587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762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[zomato_unclean_dataset_500.csv.xlsx]pivot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Sum</a:t>
            </a:r>
            <a:r>
              <a:rPr lang="en-US" sz="1400" baseline="0">
                <a:solidFill>
                  <a:schemeClr val="tx1"/>
                </a:solidFill>
              </a:rPr>
              <a:t> of profit by restaurant</a:t>
            </a:r>
            <a:endParaRPr lang="en-US" sz="1400">
              <a:solidFill>
                <a:schemeClr val="tx1"/>
              </a:solidFill>
            </a:endParaRPr>
          </a:p>
        </c:rich>
      </c:tx>
      <c:layout>
        <c:manualLayout>
          <c:xMode val="edge"/>
          <c:yMode val="edge"/>
          <c:x val="0.25585670196265164"/>
          <c:y val="0.104240429835374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0093622800662"/>
          <c:y val="0.24346999281321399"/>
          <c:w val="0.63555809856517664"/>
          <c:h val="0.30218381062460969"/>
        </c:manualLayout>
      </c:layout>
      <c:lineChart>
        <c:grouping val="stacked"/>
        <c:varyColors val="0"/>
        <c:ser>
          <c:idx val="0"/>
          <c:order val="0"/>
          <c:tx>
            <c:strRef>
              <c:f>'pivot tables'!$L$5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tables'!$K$6:$K$32</c:f>
              <c:strCache>
                <c:ptCount val="26"/>
                <c:pt idx="0">
                  <c:v>  Barbeque Nation  </c:v>
                </c:pt>
                <c:pt idx="1">
                  <c:v>  Behrouz Biryani  </c:v>
                </c:pt>
                <c:pt idx="2">
                  <c:v>  Burger King  </c:v>
                </c:pt>
                <c:pt idx="3">
                  <c:v>  Chai Point  </c:v>
                </c:pt>
                <c:pt idx="4">
                  <c:v>  Dominos Pizza  </c:v>
                </c:pt>
                <c:pt idx="5">
                  <c:v>  Paradise Biryani  </c:v>
                </c:pt>
                <c:pt idx="6">
                  <c:v>  Subway  </c:v>
                </c:pt>
                <c:pt idx="7">
                  <c:v>  Wow! Momo  </c:v>
                </c:pt>
                <c:pt idx="8">
                  <c:v>BaRbeque NaTi0N</c:v>
                </c:pt>
                <c:pt idx="9">
                  <c:v>Barbeque Nation</c:v>
                </c:pt>
                <c:pt idx="10">
                  <c:v>Behr0Uz BiryaNi</c:v>
                </c:pt>
                <c:pt idx="11">
                  <c:v>Behrouz Biryani</c:v>
                </c:pt>
                <c:pt idx="12">
                  <c:v>Bikanervala</c:v>
                </c:pt>
                <c:pt idx="13">
                  <c:v>Burger King</c:v>
                </c:pt>
                <c:pt idx="14">
                  <c:v>ChaI P0Int</c:v>
                </c:pt>
                <c:pt idx="15">
                  <c:v>Chai Point</c:v>
                </c:pt>
                <c:pt idx="16">
                  <c:v>D0Min0S Pizza</c:v>
                </c:pt>
                <c:pt idx="17">
                  <c:v>Dominos Pizza</c:v>
                </c:pt>
                <c:pt idx="18">
                  <c:v>Faasos</c:v>
                </c:pt>
                <c:pt idx="19">
                  <c:v>Haldiram</c:v>
                </c:pt>
                <c:pt idx="20">
                  <c:v>Kfc</c:v>
                </c:pt>
                <c:pt idx="21">
                  <c:v>Not Kown</c:v>
                </c:pt>
                <c:pt idx="22">
                  <c:v>Paradise Biryani</c:v>
                </c:pt>
                <c:pt idx="23">
                  <c:v>Subway</c:v>
                </c:pt>
                <c:pt idx="24">
                  <c:v>W0W! M0M0</c:v>
                </c:pt>
                <c:pt idx="25">
                  <c:v>Wow! Momo</c:v>
                </c:pt>
              </c:strCache>
            </c:strRef>
          </c:cat>
          <c:val>
            <c:numRef>
              <c:f>'pivot tables'!$L$6:$L$32</c:f>
              <c:numCache>
                <c:formatCode>General</c:formatCode>
                <c:ptCount val="26"/>
                <c:pt idx="0">
                  <c:v>157.12</c:v>
                </c:pt>
                <c:pt idx="1">
                  <c:v>352.2</c:v>
                </c:pt>
                <c:pt idx="2">
                  <c:v>146.91</c:v>
                </c:pt>
                <c:pt idx="3">
                  <c:v>104.57000000000001</c:v>
                </c:pt>
                <c:pt idx="4">
                  <c:v>379.63</c:v>
                </c:pt>
                <c:pt idx="5">
                  <c:v>22.230000000000004</c:v>
                </c:pt>
                <c:pt idx="6">
                  <c:v>190.11</c:v>
                </c:pt>
                <c:pt idx="7">
                  <c:v>537.91999999999996</c:v>
                </c:pt>
                <c:pt idx="8">
                  <c:v>51.89</c:v>
                </c:pt>
                <c:pt idx="9">
                  <c:v>2920.6299999999997</c:v>
                </c:pt>
                <c:pt idx="10">
                  <c:v>-48.37</c:v>
                </c:pt>
                <c:pt idx="11">
                  <c:v>2125.16</c:v>
                </c:pt>
                <c:pt idx="12">
                  <c:v>1358.0600000000002</c:v>
                </c:pt>
                <c:pt idx="13">
                  <c:v>1408.2799999999997</c:v>
                </c:pt>
                <c:pt idx="14">
                  <c:v>170.2</c:v>
                </c:pt>
                <c:pt idx="15">
                  <c:v>2498.2800000000002</c:v>
                </c:pt>
                <c:pt idx="16">
                  <c:v>111.56</c:v>
                </c:pt>
                <c:pt idx="17">
                  <c:v>2372.2000000000003</c:v>
                </c:pt>
                <c:pt idx="18">
                  <c:v>1391.8500000000001</c:v>
                </c:pt>
                <c:pt idx="19">
                  <c:v>1562.0700000000002</c:v>
                </c:pt>
                <c:pt idx="20">
                  <c:v>2530.360000000001</c:v>
                </c:pt>
                <c:pt idx="21">
                  <c:v>1667.5299999999995</c:v>
                </c:pt>
                <c:pt idx="22">
                  <c:v>2277.9700000000003</c:v>
                </c:pt>
                <c:pt idx="23">
                  <c:v>3855.7300000000005</c:v>
                </c:pt>
                <c:pt idx="24">
                  <c:v>184.09</c:v>
                </c:pt>
                <c:pt idx="25">
                  <c:v>2175.1400000000003</c:v>
                </c:pt>
              </c:numCache>
            </c:numRef>
          </c:val>
          <c:smooth val="0"/>
          <c:extLst>
            <c:ext xmlns:c16="http://schemas.microsoft.com/office/drawing/2014/chart" uri="{C3380CC4-5D6E-409C-BE32-E72D297353CC}">
              <c16:uniqueId val="{00000000-F862-41DE-AABE-4BCDEF1D4320}"/>
            </c:ext>
          </c:extLst>
        </c:ser>
        <c:dLbls>
          <c:showLegendKey val="0"/>
          <c:showVal val="0"/>
          <c:showCatName val="0"/>
          <c:showSerName val="0"/>
          <c:showPercent val="0"/>
          <c:showBubbleSize val="0"/>
        </c:dLbls>
        <c:marker val="1"/>
        <c:smooth val="0"/>
        <c:axId val="415548656"/>
        <c:axId val="711867184"/>
      </c:lineChart>
      <c:catAx>
        <c:axId val="415548656"/>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a:solidFill>
                      <a:schemeClr val="tx1"/>
                    </a:solidFill>
                  </a:rPr>
                  <a:t>Restaurant</a:t>
                </a:r>
              </a:p>
            </c:rich>
          </c:tx>
          <c:layout>
            <c:manualLayout>
              <c:xMode val="edge"/>
              <c:yMode val="edge"/>
              <c:x val="0.39079632263256875"/>
              <c:y val="0.813193687838729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67184"/>
        <c:crosses val="autoZero"/>
        <c:auto val="1"/>
        <c:lblAlgn val="ctr"/>
        <c:lblOffset val="100"/>
        <c:noMultiLvlLbl val="0"/>
      </c:catAx>
      <c:valAx>
        <c:axId val="71186718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a:solidFill>
                      <a:schemeClr val="tx1"/>
                    </a:solidFill>
                  </a:rPr>
                  <a:t>Profit</a:t>
                </a:r>
              </a:p>
            </c:rich>
          </c:tx>
          <c:layout>
            <c:manualLayout>
              <c:xMode val="edge"/>
              <c:yMode val="edge"/>
              <c:x val="3.7097325497312976E-2"/>
              <c:y val="0.32409728956039258"/>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54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114300" dist="50800" dir="5400000" algn="ctr" rotWithShape="0">
        <a:srgbClr val="000000">
          <a:alpha val="9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41776</xdr:rowOff>
    </xdr:from>
    <xdr:to>
      <xdr:col>6</xdr:col>
      <xdr:colOff>297016</xdr:colOff>
      <xdr:row>22</xdr:row>
      <xdr:rowOff>181842</xdr:rowOff>
    </xdr:to>
    <xdr:graphicFrame macro="">
      <xdr:nvGraphicFramePr>
        <xdr:cNvPr id="2" name="Chart 1">
          <a:extLst>
            <a:ext uri="{FF2B5EF4-FFF2-40B4-BE49-F238E27FC236}">
              <a16:creationId xmlns:a16="http://schemas.microsoft.com/office/drawing/2014/main" id="{3B9012E9-DEAB-EC85-383B-711793A14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161085</xdr:colOff>
      <xdr:row>8</xdr:row>
      <xdr:rowOff>35309</xdr:rowOff>
    </xdr:from>
    <xdr:to>
      <xdr:col>13</xdr:col>
      <xdr:colOff>600231</xdr:colOff>
      <xdr:row>23</xdr:row>
      <xdr:rowOff>2457</xdr:rowOff>
    </xdr:to>
    <xdr:graphicFrame macro="">
      <xdr:nvGraphicFramePr>
        <xdr:cNvPr id="3" name="Chart 3">
          <a:extLst>
            <a:ext uri="{FF2B5EF4-FFF2-40B4-BE49-F238E27FC236}">
              <a16:creationId xmlns:a16="http://schemas.microsoft.com/office/drawing/2014/main" id="{48D784EE-3D60-E55D-3690-4C0A1844B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24</xdr:row>
      <xdr:rowOff>30932</xdr:rowOff>
    </xdr:from>
    <xdr:to>
      <xdr:col>6</xdr:col>
      <xdr:colOff>245807</xdr:colOff>
      <xdr:row>38</xdr:row>
      <xdr:rowOff>102419</xdr:rowOff>
    </xdr:to>
    <xdr:graphicFrame macro="">
      <xdr:nvGraphicFramePr>
        <xdr:cNvPr id="4" name="Chart 4">
          <a:extLst>
            <a:ext uri="{FF2B5EF4-FFF2-40B4-BE49-F238E27FC236}">
              <a16:creationId xmlns:a16="http://schemas.microsoft.com/office/drawing/2014/main" id="{6445F954-6CD4-6C95-CBE4-C29906D04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120958</xdr:colOff>
      <xdr:row>24</xdr:row>
      <xdr:rowOff>19664</xdr:rowOff>
    </xdr:from>
    <xdr:to>
      <xdr:col>14</xdr:col>
      <xdr:colOff>0</xdr:colOff>
      <xdr:row>38</xdr:row>
      <xdr:rowOff>112661</xdr:rowOff>
    </xdr:to>
    <xdr:graphicFrame macro="">
      <xdr:nvGraphicFramePr>
        <xdr:cNvPr id="5" name="Chart 5">
          <a:extLst>
            <a:ext uri="{FF2B5EF4-FFF2-40B4-BE49-F238E27FC236}">
              <a16:creationId xmlns:a16="http://schemas.microsoft.com/office/drawing/2014/main" id="{D72F72D0-5196-B8F2-3F4C-F0C8B1A5F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156908</xdr:colOff>
      <xdr:row>3</xdr:row>
      <xdr:rowOff>70054</xdr:rowOff>
    </xdr:from>
    <xdr:to>
      <xdr:col>16</xdr:col>
      <xdr:colOff>40968</xdr:colOff>
      <xdr:row>15</xdr:row>
      <xdr:rowOff>124615</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FB62362B-8F01-3293-316E-DA8E4DAAC0D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808783" y="635601"/>
              <a:ext cx="1094529" cy="2582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64730</xdr:colOff>
      <xdr:row>3</xdr:row>
      <xdr:rowOff>57969</xdr:rowOff>
    </xdr:from>
    <xdr:to>
      <xdr:col>19</xdr:col>
      <xdr:colOff>11339</xdr:colOff>
      <xdr:row>15</xdr:row>
      <xdr:rowOff>112530</xdr:rowOff>
    </xdr:to>
    <mc:AlternateContent xmlns:mc="http://schemas.openxmlformats.org/markup-compatibility/2006" xmlns:a14="http://schemas.microsoft.com/office/drawing/2010/main">
      <mc:Choice Requires="a14">
        <xdr:graphicFrame macro="">
          <xdr:nvGraphicFramePr>
            <xdr:cNvPr id="7" name="Restaurant">
              <a:extLst>
                <a:ext uri="{FF2B5EF4-FFF2-40B4-BE49-F238E27FC236}">
                  <a16:creationId xmlns:a16="http://schemas.microsoft.com/office/drawing/2014/main" id="{AE9A6EF8-806E-CF02-D987-191914C0F695}"/>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9927074" y="623516"/>
              <a:ext cx="1762312" cy="2582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158750</xdr:colOff>
      <xdr:row>17</xdr:row>
      <xdr:rowOff>124730</xdr:rowOff>
    </xdr:from>
    <xdr:to>
      <xdr:col>19</xdr:col>
      <xdr:colOff>0</xdr:colOff>
      <xdr:row>27</xdr:row>
      <xdr:rowOff>136071</xdr:rowOff>
    </xdr:to>
    <xdr:sp macro="" textlink="">
      <xdr:nvSpPr>
        <xdr:cNvPr id="12" name="Rectangle 11">
          <a:extLst>
            <a:ext uri="{FF2B5EF4-FFF2-40B4-BE49-F238E27FC236}">
              <a16:creationId xmlns:a16="http://schemas.microsoft.com/office/drawing/2014/main" id="{8B099DB5-8CC7-14B8-733C-16976D9F3806}"/>
            </a:ext>
          </a:extLst>
        </xdr:cNvPr>
        <xdr:cNvSpPr/>
      </xdr:nvSpPr>
      <xdr:spPr>
        <a:xfrm>
          <a:off x="8890000" y="3209016"/>
          <a:ext cx="2902857" cy="1825626"/>
        </a:xfrm>
        <a:prstGeom prst="rect">
          <a:avLst/>
        </a:prstGeom>
        <a:solidFill>
          <a:schemeClr val="accent1">
            <a:lumMod val="40000"/>
            <a:lumOff val="6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u="sng">
              <a:latin typeface="Agency FB" panose="020B0503020202020204" pitchFamily="34" charset="0"/>
            </a:rPr>
            <a:t>INSIGHTS</a:t>
          </a:r>
        </a:p>
        <a:p>
          <a:pPr algn="ctr"/>
          <a:r>
            <a:rPr lang="en-US" sz="1600" b="1" u="none">
              <a:latin typeface="Agency FB" panose="020B0503020202020204" pitchFamily="34" charset="0"/>
            </a:rPr>
            <a:t>The dashboard reveals a positive trend in sales growth, with a 15% increase in Q2 compared to Q1. Customer satisfaction scores have improved from 78% to 85%, indicating better service quality. </a:t>
          </a:r>
        </a:p>
        <a:p>
          <a:pPr algn="ctr"/>
          <a:endParaRPr lang="en-US" sz="1600" b="1" u="none">
            <a:latin typeface="Agency FB" panose="020B0503020202020204" pitchFamily="34" charset="0"/>
          </a:endParaRPr>
        </a:p>
        <a:p>
          <a:pPr algn="ctr"/>
          <a:endParaRPr lang="en-US" sz="1600" b="1">
            <a:latin typeface="Agency FB" panose="020B0503020202020204" pitchFamily="34" charset="0"/>
          </a:endParaRPr>
        </a:p>
      </xdr:txBody>
    </xdr:sp>
    <xdr:clientData/>
  </xdr:twoCellAnchor>
  <xdr:twoCellAnchor>
    <xdr:from>
      <xdr:col>14</xdr:col>
      <xdr:colOff>178594</xdr:colOff>
      <xdr:row>28</xdr:row>
      <xdr:rowOff>19844</xdr:rowOff>
    </xdr:from>
    <xdr:to>
      <xdr:col>18</xdr:col>
      <xdr:colOff>585390</xdr:colOff>
      <xdr:row>38</xdr:row>
      <xdr:rowOff>99219</xdr:rowOff>
    </xdr:to>
    <xdr:sp macro="" textlink="">
      <xdr:nvSpPr>
        <xdr:cNvPr id="13" name="Rectangle 12">
          <a:extLst>
            <a:ext uri="{FF2B5EF4-FFF2-40B4-BE49-F238E27FC236}">
              <a16:creationId xmlns:a16="http://schemas.microsoft.com/office/drawing/2014/main" id="{BA37022F-4966-B1B9-E6A3-ED548847C367}"/>
            </a:ext>
          </a:extLst>
        </xdr:cNvPr>
        <xdr:cNvSpPr/>
      </xdr:nvSpPr>
      <xdr:spPr>
        <a:xfrm>
          <a:off x="8830469" y="5298282"/>
          <a:ext cx="2827734" cy="1964531"/>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u="sng">
              <a:solidFill>
                <a:schemeClr val="tx1"/>
              </a:solidFill>
              <a:latin typeface="Agency FB" panose="020B0503020202020204" pitchFamily="34" charset="0"/>
            </a:rPr>
            <a:t>CONCLIUSION</a:t>
          </a:r>
        </a:p>
        <a:p>
          <a:pPr algn="ctr"/>
          <a:r>
            <a:rPr lang="en-US" sz="1400" b="1" u="none">
              <a:solidFill>
                <a:schemeClr val="tx1"/>
              </a:solidFill>
              <a:latin typeface="Agency FB" panose="020B0503020202020204" pitchFamily="34" charset="0"/>
            </a:rPr>
            <a:t>The data suggests a successful and well-performing period for the company. The</a:t>
          </a:r>
          <a:r>
            <a:rPr lang="en-US" sz="1400" b="1" u="none" baseline="0">
              <a:solidFill>
                <a:schemeClr val="tx1"/>
              </a:solidFill>
              <a:latin typeface="Agency FB" panose="020B0503020202020204" pitchFamily="34" charset="0"/>
            </a:rPr>
            <a:t> </a:t>
          </a:r>
          <a:r>
            <a:rPr lang="en-US" sz="1400" b="1" u="none">
              <a:solidFill>
                <a:schemeClr val="tx1"/>
              </a:solidFill>
              <a:latin typeface="Agency FB" panose="020B0503020202020204" pitchFamily="34" charset="0"/>
            </a:rPr>
            <a:t>increase in sales and customer satisfaction, coupled with the positive impact of the marketing campaign, indicates effective strategies. The reduction in product returns further attests to improved product quality</a:t>
          </a:r>
          <a:r>
            <a:rPr lang="en-US" sz="1400" b="1" u="sng">
              <a:solidFill>
                <a:schemeClr val="tx1"/>
              </a:solidFill>
              <a:latin typeface="Agency FB" panose="020B0503020202020204" pitchFamily="34" charset="0"/>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302.481135532405" createdVersion="8" refreshedVersion="8" minRefreshableVersion="3" recordCount="397" xr:uid="{E86878D4-6089-4DA5-A777-85A8964227FB}">
  <cacheSource type="worksheet">
    <worksheetSource name="Table1_1"/>
  </cacheSource>
  <cacheFields count="16">
    <cacheField name="Order_ID" numFmtId="0">
      <sharedItems/>
    </cacheField>
    <cacheField name="Order_Date" numFmtId="165">
      <sharedItems containsSemiMixedTypes="0" containsNonDate="0" containsDate="1" containsString="0" minDate="2024-01-01T00:00:00" maxDate="2024-12-08T00:00:00"/>
    </cacheField>
    <cacheField name="Order_time" numFmtId="164">
      <sharedItems containsSemiMixedTypes="0" containsNonDate="0" containsDate="1" containsString="0" minDate="1899-12-30T01:02:00" maxDate="1899-12-30T12:43:00"/>
    </cacheField>
    <cacheField name="Restaurant" numFmtId="0">
      <sharedItems count="26">
        <s v="Haldiram"/>
        <s v="Burger King"/>
        <s v="Behrouz Biryani"/>
        <s v="Wow! Momo"/>
        <s v="BaRbeque NaTi0N"/>
        <s v="Dominos Pizza"/>
        <s v="Subway"/>
        <s v="Kfc"/>
        <s v="Paradise Biryani"/>
        <s v="Chai Point"/>
        <s v="Bikanervala"/>
        <s v="Faasos"/>
        <s v="Not Kown"/>
        <s v="Barbeque Nation"/>
        <s v="  Chai Point  "/>
        <s v="ChaI P0Int"/>
        <s v="  Paradise Biryani  "/>
        <s v="  Dominos Pizza  "/>
        <s v="  Wow! Momo  "/>
        <s v="Behr0Uz BiryaNi"/>
        <s v="D0Min0S Pizza"/>
        <s v="  Behrouz Biryani  "/>
        <s v="  Burger King  "/>
        <s v="  Barbeque Nation  "/>
        <s v="W0W! M0M0"/>
        <s v="  Subway  "/>
      </sharedItems>
    </cacheField>
    <cacheField name="City" numFmtId="0">
      <sharedItems count="15">
        <s v="Delhi"/>
        <s v="Ahmedabad"/>
        <s v="Bengaluru"/>
        <s v="Chennai"/>
        <s v="Bangalore"/>
        <s v="Kolkata"/>
        <s v="Hyderabad"/>
        <s v="Pune"/>
        <s v="Jaipur"/>
        <s v="Mumbai"/>
        <s v="Lucknow"/>
        <s v="Not Known"/>
        <s v="Bombay"/>
        <s v="Calcutta"/>
        <s v="Bangalore " u="1"/>
      </sharedItems>
    </cacheField>
    <cacheField name="Cuisine" numFmtId="0">
      <sharedItems/>
    </cacheField>
    <cacheField name="Customer_Age" numFmtId="0">
      <sharedItems containsSemiMixedTypes="0" containsString="0" containsNumber="1" containsInteger="1" minValue="0" maxValue="65"/>
    </cacheField>
    <cacheField name="Rating" numFmtId="0">
      <sharedItems containsSemiMixedTypes="0" containsString="0" containsNumber="1" minValue="0" maxValue="5"/>
    </cacheField>
    <cacheField name="Delivery_Time" numFmtId="0">
      <sharedItems containsSemiMixedTypes="0" containsString="0" containsNumber="1" containsInteger="1" minValue="0" maxValue="80"/>
    </cacheField>
    <cacheField name="Order_Value" numFmtId="0">
      <sharedItems containsSemiMixedTypes="0" containsString="0" containsNumber="1" minValue="0" maxValue="2495.5300000000002"/>
    </cacheField>
    <cacheField name="Discount" numFmtId="0">
      <sharedItems containsSemiMixedTypes="0" containsString="0" containsNumber="1" minValue="0" maxValue="150"/>
    </cacheField>
    <cacheField name="Payment_Mode" numFmtId="0">
      <sharedItems/>
    </cacheField>
    <cacheField name="Order_Status" numFmtId="0">
      <sharedItems/>
    </cacheField>
    <cacheField name="Number_of_Items" numFmtId="0">
      <sharedItems containsSemiMixedTypes="0" containsString="0" containsNumber="1" containsInteger="1" minValue="0" maxValue="10"/>
    </cacheField>
    <cacheField name="Delivery_Partner" numFmtId="0">
      <sharedItems/>
    </cacheField>
    <cacheField name="Profit" numFmtId="0">
      <sharedItems containsSemiMixedTypes="0" containsString="0" containsNumber="1" minValue="-79.48" maxValue="249.7"/>
    </cacheField>
  </cacheFields>
  <extLst>
    <ext xmlns:x14="http://schemas.microsoft.com/office/spreadsheetml/2009/9/main" uri="{725AE2AE-9491-48be-B2B4-4EB974FC3084}">
      <x14:pivotCacheDefinition pivotCacheId="1898940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7">
  <r>
    <s v="ZOM-117"/>
    <d v="2024-03-03T00:00:00"/>
    <d v="1899-12-30T12:00:00"/>
    <x v="0"/>
    <x v="0"/>
    <s v="Street Food"/>
    <n v="55"/>
    <n v="4.5"/>
    <n v="35"/>
    <n v="1781.57"/>
    <n v="0.2"/>
    <s v="Upi"/>
    <s v="Failed"/>
    <n v="7"/>
    <s v="Zomato Valet"/>
    <n v="124.11"/>
  </r>
  <r>
    <s v="ZOM-10002"/>
    <d v="2024-01-12T00:00:00"/>
    <d v="1899-12-30T12:00:00"/>
    <x v="1"/>
    <x v="1"/>
    <s v="Chinese"/>
    <n v="58"/>
    <n v="3.9"/>
    <n v="39"/>
    <n v="762.48"/>
    <n v="50"/>
    <s v="Wallet"/>
    <s v="Delivered"/>
    <n v="10"/>
    <s v="In-House"/>
    <n v="50.56"/>
  </r>
  <r>
    <s v="ZOM-10003"/>
    <d v="2024-04-03T00:00:00"/>
    <d v="1899-12-30T12:00:00"/>
    <x v="2"/>
    <x v="2"/>
    <s v="Fast Food"/>
    <n v="42"/>
    <n v="2.9"/>
    <n v="16"/>
    <n v="1739.07"/>
    <n v="75"/>
    <s v="Wallet"/>
    <s v="Delivered"/>
    <n v="9"/>
    <s v="Shadowfax"/>
    <n v="126.35"/>
  </r>
  <r>
    <s v="ZOM-10004"/>
    <d v="2024-05-04T00:00:00"/>
    <d v="1899-12-30T12:00:00"/>
    <x v="3"/>
    <x v="3"/>
    <s v="North Indian"/>
    <n v="22"/>
    <n v="3.1"/>
    <n v="57"/>
    <n v="1251.17"/>
    <n v="0.6"/>
    <s v="Cash On Delivery"/>
    <s v="Cancelled"/>
    <n v="6"/>
    <s v="Grab"/>
    <n v="1.81"/>
  </r>
  <r>
    <s v="ZOM-10006"/>
    <d v="2024-05-20T00:00:00"/>
    <d v="1899-12-30T12:00:00"/>
    <x v="3"/>
    <x v="4"/>
    <s v="North Indian, Italian"/>
    <n v="47"/>
    <n v="3.8"/>
    <n v="77"/>
    <n v="488.42"/>
    <n v="120"/>
    <s v="Wallet"/>
    <s v="Delivered"/>
    <n v="1"/>
    <s v="Rapido"/>
    <n v="116.36"/>
  </r>
  <r>
    <s v="ZOM-10008"/>
    <d v="2024-01-28T00:00:00"/>
    <d v="1899-12-30T12:00:00"/>
    <x v="1"/>
    <x v="5"/>
    <s v="North Indian"/>
    <n v="0"/>
    <n v="3.5"/>
    <n v="71"/>
    <n v="1433"/>
    <n v="0"/>
    <s v="Upi"/>
    <s v="Delivered"/>
    <n v="3"/>
    <s v="Zomato Valet"/>
    <n v="182.72"/>
  </r>
  <r>
    <s v="ZOM-10009"/>
    <d v="2024-03-04T00:00:00"/>
    <d v="1899-12-30T12:00:00"/>
    <x v="3"/>
    <x v="6"/>
    <s v="Not Known"/>
    <n v="39"/>
    <n v="2.6"/>
    <n v="46"/>
    <n v="755"/>
    <n v="0.1"/>
    <s v="Cash On Delivery"/>
    <s v="Refunded"/>
    <n v="4"/>
    <s v="Grab"/>
    <n v="239.07"/>
  </r>
  <r>
    <s v="ZOM-10010"/>
    <d v="2024-05-17T00:00:00"/>
    <d v="1899-12-30T12:00:00"/>
    <x v="0"/>
    <x v="0"/>
    <s v="Desserts"/>
    <n v="30"/>
    <n v="3.8"/>
    <n v="0"/>
    <n v="2322.87"/>
    <n v="150"/>
    <s v="Wallet"/>
    <s v="Refunded"/>
    <n v="5"/>
    <s v="Rapido"/>
    <n v="52.79"/>
  </r>
  <r>
    <s v="ZOM-10011"/>
    <d v="2024-04-07T00:00:00"/>
    <d v="1899-12-30T11:07:00"/>
    <x v="4"/>
    <x v="5"/>
    <s v="Desserts"/>
    <n v="65"/>
    <n v="1.3"/>
    <n v="57"/>
    <n v="342.26"/>
    <n v="0.2"/>
    <s v="Credit Card"/>
    <s v="Delivered"/>
    <n v="10"/>
    <s v="Shadowfax"/>
    <n v="51.89"/>
  </r>
  <r>
    <s v="ZOM-10012"/>
    <d v="2024-07-16T00:00:00"/>
    <d v="1899-12-30T03:38:00"/>
    <x v="5"/>
    <x v="6"/>
    <s v="Mughlai"/>
    <n v="46"/>
    <n v="3.9"/>
    <n v="72"/>
    <n v="2255.36"/>
    <n v="75"/>
    <s v="Credit Card"/>
    <s v="Delivered"/>
    <n v="5"/>
    <s v="Shadowfax"/>
    <n v="98.25"/>
  </r>
  <r>
    <s v="ZOM-10013"/>
    <d v="2024-06-29T00:00:00"/>
    <d v="1899-12-30T12:00:00"/>
    <x v="6"/>
    <x v="7"/>
    <s v="Bakery, Desserts"/>
    <n v="42"/>
    <n v="4.8"/>
    <n v="43"/>
    <n v="1281.99"/>
    <n v="100"/>
    <s v="Debit Card"/>
    <s v="Delivered"/>
    <n v="7"/>
    <s v="Rapido"/>
    <n v="132.11000000000001"/>
  </r>
  <r>
    <s v="ZOM-10014"/>
    <d v="2024-04-07T00:00:00"/>
    <d v="1899-12-30T12:00:00"/>
    <x v="7"/>
    <x v="7"/>
    <s v="Street Food"/>
    <n v="59"/>
    <n v="0"/>
    <n v="0"/>
    <n v="708.53"/>
    <n v="50"/>
    <s v="Credit Card"/>
    <s v="Delivered"/>
    <n v="10"/>
    <s v="In-House"/>
    <n v="-25.96"/>
  </r>
  <r>
    <s v="ZOM-10015"/>
    <d v="2024-05-27T00:00:00"/>
    <d v="1899-12-30T12:00:00"/>
    <x v="6"/>
    <x v="6"/>
    <s v="Bakery"/>
    <n v="0"/>
    <n v="3.6"/>
    <n v="56"/>
    <n v="932.13"/>
    <n v="0"/>
    <s v="Cash On Delivery"/>
    <s v="Cancelled"/>
    <n v="5"/>
    <s v="Rapido"/>
    <n v="79.55"/>
  </r>
  <r>
    <s v="ZOM-10016"/>
    <d v="2024-03-03T00:00:00"/>
    <d v="1899-12-30T12:00:00"/>
    <x v="8"/>
    <x v="0"/>
    <s v="Desserts"/>
    <n v="35"/>
    <n v="3.1"/>
    <n v="30"/>
    <n v="1833.78"/>
    <n v="150"/>
    <s v="Cash On Delivery"/>
    <s v="Delivered"/>
    <n v="10"/>
    <s v="Dunzo"/>
    <n v="60.42"/>
  </r>
  <r>
    <s v="ZOM-10017"/>
    <d v="2024-03-10T00:00:00"/>
    <d v="1899-12-30T12:00:00"/>
    <x v="0"/>
    <x v="4"/>
    <s v="Bakery"/>
    <n v="30"/>
    <n v="2.4"/>
    <n v="31"/>
    <n v="772.86"/>
    <n v="150"/>
    <s v="Credit Card"/>
    <s v="Delivered"/>
    <n v="3"/>
    <s v="Zomato Valet"/>
    <n v="-42.35"/>
  </r>
  <r>
    <s v="ZOM-10018"/>
    <d v="2024-06-24T00:00:00"/>
    <d v="1899-12-30T12:00:00"/>
    <x v="9"/>
    <x v="8"/>
    <s v="Chinese"/>
    <n v="55"/>
    <n v="2.2000000000000002"/>
    <n v="27"/>
    <n v="2375.2600000000002"/>
    <n v="0.1"/>
    <s v="Credit Card"/>
    <s v="Delivered"/>
    <n v="4"/>
    <s v="Dunzo"/>
    <n v="69.83"/>
  </r>
  <r>
    <s v="ZOM-10019"/>
    <d v="2024-06-09T00:00:00"/>
    <d v="1899-12-30T08:07:00"/>
    <x v="5"/>
    <x v="4"/>
    <s v="Bakery"/>
    <n v="43"/>
    <n v="3"/>
    <n v="25"/>
    <n v="1543.33"/>
    <n v="120"/>
    <s v="Unknown"/>
    <s v="Cancelled"/>
    <n v="1"/>
    <s v="In-House"/>
    <n v="171.83"/>
  </r>
  <r>
    <s v="ZOM-10020"/>
    <d v="2024-03-12T00:00:00"/>
    <d v="1899-12-30T12:00:00"/>
    <x v="6"/>
    <x v="3"/>
    <s v="Italian"/>
    <n v="53"/>
    <n v="0"/>
    <n v="31"/>
    <n v="889.39"/>
    <n v="120"/>
    <s v="Upi"/>
    <s v="Cancelled"/>
    <n v="8"/>
    <s v="Zomato Valet"/>
    <n v="226.13"/>
  </r>
  <r>
    <s v="ZOM-10021"/>
    <d v="2024-06-10T00:00:00"/>
    <d v="1899-12-30T08:46:00"/>
    <x v="2"/>
    <x v="9"/>
    <s v="Mughlai"/>
    <n v="48"/>
    <n v="2"/>
    <n v="64"/>
    <n v="573.65"/>
    <n v="50"/>
    <s v="Upi"/>
    <s v="Pending"/>
    <n v="10"/>
    <s v="In-House"/>
    <n v="97.73"/>
  </r>
  <r>
    <s v="ZOM-10022"/>
    <d v="2024-04-26T00:00:00"/>
    <d v="1899-12-30T12:00:00"/>
    <x v="2"/>
    <x v="3"/>
    <s v="Italian"/>
    <n v="20"/>
    <n v="4.9000000000000004"/>
    <n v="27"/>
    <n v="2200.5700000000002"/>
    <n v="100"/>
    <s v="Upi"/>
    <s v="Cancelled"/>
    <n v="10"/>
    <s v="In-House"/>
    <n v="28.43"/>
  </r>
  <r>
    <s v="ZOM-10023"/>
    <d v="2024-06-09T00:00:00"/>
    <d v="1899-12-30T12:00:00"/>
    <x v="10"/>
    <x v="6"/>
    <s v="South Indian"/>
    <n v="0"/>
    <n v="2.2000000000000002"/>
    <n v="33"/>
    <n v="701.19"/>
    <n v="50"/>
    <s v="Credit Card"/>
    <s v="Cancelled"/>
    <n v="5"/>
    <s v="Grab"/>
    <n v="185.53"/>
  </r>
  <r>
    <s v="ZOM-10024"/>
    <d v="2024-04-23T00:00:00"/>
    <d v="1899-12-30T12:00:00"/>
    <x v="1"/>
    <x v="6"/>
    <s v="Italian"/>
    <n v="60"/>
    <n v="1"/>
    <n v="21"/>
    <n v="2287.27"/>
    <n v="75"/>
    <s v="Credit Card"/>
    <s v="Delivered"/>
    <n v="3"/>
    <s v="In-House"/>
    <n v="-66.989999999999995"/>
  </r>
  <r>
    <s v="ZOM-10025"/>
    <d v="2024-02-03T00:00:00"/>
    <d v="1899-12-30T12:00:00"/>
    <x v="7"/>
    <x v="3"/>
    <s v="Biryani"/>
    <n v="39"/>
    <n v="2.9"/>
    <n v="63"/>
    <n v="2420.27"/>
    <n v="100"/>
    <s v="Net Banking"/>
    <s v="Delivered"/>
    <n v="5"/>
    <s v="Rapido"/>
    <n v="42.59"/>
  </r>
  <r>
    <s v="ZOM-10026"/>
    <d v="2024-05-23T00:00:00"/>
    <d v="1899-12-30T12:00:00"/>
    <x v="5"/>
    <x v="7"/>
    <s v="North Indian"/>
    <n v="26"/>
    <n v="2.5"/>
    <n v="68"/>
    <n v="1517.87"/>
    <n v="150"/>
    <s v="Upi"/>
    <s v="Refunded"/>
    <n v="4"/>
    <s v="Dunzo"/>
    <n v="99.67"/>
  </r>
  <r>
    <s v="ZOM-10027"/>
    <d v="2024-02-18T00:00:00"/>
    <d v="1899-12-30T12:00:00"/>
    <x v="8"/>
    <x v="0"/>
    <s v="Bakery"/>
    <n v="32"/>
    <n v="1.6"/>
    <n v="15"/>
    <n v="779.91"/>
    <n v="120"/>
    <s v="Debit Card"/>
    <s v="Unknown"/>
    <n v="4"/>
    <s v="Rapido"/>
    <n v="-62.71"/>
  </r>
  <r>
    <s v="ZOM-10028"/>
    <d v="2024-05-01T00:00:00"/>
    <d v="1899-12-30T03:18:00"/>
    <x v="3"/>
    <x v="8"/>
    <s v="Mughlai"/>
    <n v="46"/>
    <n v="1.3"/>
    <n v="23"/>
    <n v="420.34"/>
    <n v="150"/>
    <s v="Debit Card"/>
    <s v="Delivered"/>
    <n v="9"/>
    <s v="In-House"/>
    <n v="213.07"/>
  </r>
  <r>
    <s v="ZOM-10029"/>
    <d v="2024-05-07T00:00:00"/>
    <d v="1899-12-30T12:00:00"/>
    <x v="7"/>
    <x v="9"/>
    <s v="Desserts"/>
    <n v="39"/>
    <n v="2.6"/>
    <n v="69"/>
    <n v="2186.06"/>
    <n v="120"/>
    <s v="Debit Card"/>
    <s v="Delivered"/>
    <n v="6"/>
    <s v="Zomato Valet"/>
    <n v="186.38"/>
  </r>
  <r>
    <s v="ZOM-10030"/>
    <d v="2024-06-06T00:00:00"/>
    <d v="1899-12-30T11:02:00"/>
    <x v="10"/>
    <x v="5"/>
    <s v="North Indian"/>
    <n v="65"/>
    <n v="1.1000000000000001"/>
    <n v="42"/>
    <n v="1015.34"/>
    <n v="0.2"/>
    <s v="Wallet"/>
    <s v="Delivered"/>
    <n v="2"/>
    <s v="Dunzo"/>
    <n v="120.34"/>
  </r>
  <r>
    <s v="ZOM-10031"/>
    <d v="2024-03-29T00:00:00"/>
    <d v="1899-12-30T12:00:00"/>
    <x v="11"/>
    <x v="7"/>
    <s v="Chinese"/>
    <n v="38"/>
    <n v="3"/>
    <n v="31"/>
    <n v="1024.8900000000001"/>
    <n v="150"/>
    <s v="Debit Card"/>
    <s v="Delivered"/>
    <n v="7"/>
    <s v="Rapido"/>
    <n v="15.54"/>
  </r>
  <r>
    <s v="ZOM-10032"/>
    <d v="2024-06-07T00:00:00"/>
    <d v="1899-12-30T12:00:00"/>
    <x v="7"/>
    <x v="8"/>
    <s v="Chinese"/>
    <n v="50"/>
    <n v="4.0999999999999996"/>
    <n v="33"/>
    <n v="682.32"/>
    <n v="0.6"/>
    <s v="Credit Card"/>
    <s v="Delivered"/>
    <n v="10"/>
    <s v="In-House"/>
    <n v="205.2"/>
  </r>
  <r>
    <s v="ZOM-10034"/>
    <d v="2024-06-22T00:00:00"/>
    <d v="1899-12-30T12:00:00"/>
    <x v="11"/>
    <x v="7"/>
    <s v="Bakery"/>
    <n v="40"/>
    <n v="3.6"/>
    <n v="31"/>
    <n v="1536.2"/>
    <n v="0.5"/>
    <s v="Wallet"/>
    <s v="Delivered"/>
    <n v="1"/>
    <s v="Dunzo"/>
    <n v="32.770000000000003"/>
  </r>
  <r>
    <s v="ZOM-10035"/>
    <d v="2024-02-09T00:00:00"/>
    <d v="1899-12-30T12:00:00"/>
    <x v="0"/>
    <x v="3"/>
    <s v="Fast Food"/>
    <n v="28"/>
    <n v="1.2"/>
    <n v="45"/>
    <n v="2427.62"/>
    <n v="100"/>
    <s v="Credit Card"/>
    <s v="Delivered"/>
    <n v="10"/>
    <s v="Grab"/>
    <n v="46.02"/>
  </r>
  <r>
    <s v="ZOM-10036"/>
    <d v="2024-06-03T00:00:00"/>
    <d v="1899-12-30T12:00:00"/>
    <x v="10"/>
    <x v="8"/>
    <s v="Biryani"/>
    <n v="32"/>
    <n v="4.5"/>
    <n v="68"/>
    <n v="246.75"/>
    <n v="0.1"/>
    <s v="Debit Card"/>
    <s v="Refunded"/>
    <n v="8"/>
    <s v="In-House"/>
    <n v="74.81"/>
  </r>
  <r>
    <s v="ZOM-113"/>
    <d v="2024-02-08T00:00:00"/>
    <d v="1899-12-30T12:00:00"/>
    <x v="9"/>
    <x v="0"/>
    <s v="South Indian"/>
    <n v="0"/>
    <n v="2"/>
    <n v="42"/>
    <n v="123.72"/>
    <n v="50"/>
    <s v="Wallet"/>
    <s v="Delivered"/>
    <n v="1"/>
    <s v="Grab"/>
    <n v="47.67"/>
  </r>
  <r>
    <s v="ZOM-10038"/>
    <d v="2024-01-18T00:00:00"/>
    <d v="1899-12-30T12:00:00"/>
    <x v="11"/>
    <x v="0"/>
    <s v="Mughlai"/>
    <n v="63"/>
    <n v="2.8"/>
    <n v="20"/>
    <n v="2002.84"/>
    <n v="0.2"/>
    <s v="Net Banking"/>
    <s v="Delivered"/>
    <n v="1"/>
    <s v="In-House"/>
    <n v="41.45"/>
  </r>
  <r>
    <s v="ZOM-10039"/>
    <d v="2024-04-08T00:00:00"/>
    <d v="1899-12-30T12:00:00"/>
    <x v="8"/>
    <x v="9"/>
    <s v="Bakery"/>
    <n v="38"/>
    <n v="2.2000000000000002"/>
    <n v="69"/>
    <n v="516.61"/>
    <n v="150"/>
    <s v="Debit Card"/>
    <s v="Delivered"/>
    <n v="3"/>
    <s v="Zomato Valet"/>
    <n v="0"/>
  </r>
  <r>
    <s v="ZOM-10040"/>
    <d v="2024-03-04T00:00:00"/>
    <d v="1899-12-30T12:00:00"/>
    <x v="12"/>
    <x v="4"/>
    <s v="South Indian"/>
    <n v="33"/>
    <n v="1.1000000000000001"/>
    <n v="48"/>
    <n v="1041.03"/>
    <n v="0.2"/>
    <s v="Wallet"/>
    <s v="Delivered"/>
    <n v="3"/>
    <s v="In-House"/>
    <n v="145.04"/>
  </r>
  <r>
    <s v="ZOM-10042"/>
    <d v="2024-05-08T00:00:00"/>
    <d v="1899-12-30T12:00:00"/>
    <x v="3"/>
    <x v="3"/>
    <s v="South Indian"/>
    <n v="37"/>
    <n v="1.4"/>
    <n v="34"/>
    <n v="527.46"/>
    <n v="75"/>
    <s v="Net Banking"/>
    <s v="Delivered"/>
    <n v="10"/>
    <s v="Unknown"/>
    <n v="213.37"/>
  </r>
  <r>
    <s v="ZOM-10043"/>
    <d v="2024-03-03T00:00:00"/>
    <d v="1899-12-30T12:00:00"/>
    <x v="0"/>
    <x v="3"/>
    <s v="Desserts"/>
    <n v="38"/>
    <n v="1.5"/>
    <n v="33"/>
    <n v="350.41"/>
    <n v="0.6"/>
    <s v="Cash On Delivery"/>
    <s v="Refunded"/>
    <n v="3"/>
    <s v="Grab"/>
    <n v="210.09"/>
  </r>
  <r>
    <s v="ZOM-10044"/>
    <d v="2024-04-27T00:00:00"/>
    <d v="1899-12-30T12:00:00"/>
    <x v="12"/>
    <x v="5"/>
    <s v="Mughlai, South Indian"/>
    <n v="34"/>
    <n v="4.0999999999999996"/>
    <n v="66"/>
    <n v="241.76"/>
    <n v="0.2"/>
    <s v="Upi"/>
    <s v="Delivered"/>
    <n v="7"/>
    <s v="Dunzo"/>
    <n v="229.85"/>
  </r>
  <r>
    <s v="ZOM-10045"/>
    <d v="2024-05-08T00:00:00"/>
    <d v="1899-12-30T12:00:00"/>
    <x v="13"/>
    <x v="8"/>
    <s v="Italian"/>
    <n v="50"/>
    <n v="3.8"/>
    <n v="17"/>
    <n v="996.69"/>
    <n v="120"/>
    <s v="Debit Card"/>
    <s v="Delivered"/>
    <n v="10"/>
    <s v="Rapido"/>
    <n v="78.55"/>
  </r>
  <r>
    <s v="ZOM-10046"/>
    <d v="2024-04-07T00:00:00"/>
    <d v="1899-12-30T12:00:00"/>
    <x v="12"/>
    <x v="9"/>
    <s v="Italian"/>
    <n v="65"/>
    <n v="3.8"/>
    <n v="56"/>
    <n v="2495.5300000000002"/>
    <n v="0.15"/>
    <s v="Cash On Delivery"/>
    <s v="Refunded"/>
    <n v="9"/>
    <s v="Dunzo"/>
    <n v="18.21"/>
  </r>
  <r>
    <s v="ZOM-121"/>
    <d v="2024-03-16T00:00:00"/>
    <d v="1899-12-30T07:22:00"/>
    <x v="5"/>
    <x v="8"/>
    <s v="Fast Food"/>
    <n v="46"/>
    <n v="4.8"/>
    <n v="16"/>
    <n v="742.5"/>
    <n v="0.1"/>
    <s v="Cash On Delivery"/>
    <s v="Refunded"/>
    <n v="6"/>
    <s v="Rapido"/>
    <n v="77.8"/>
  </r>
  <r>
    <s v="ZOM-10050"/>
    <d v="2024-06-28T00:00:00"/>
    <d v="1899-12-30T12:00:00"/>
    <x v="3"/>
    <x v="10"/>
    <s v="Desserts"/>
    <n v="50"/>
    <n v="3.1"/>
    <n v="69"/>
    <n v="1358.41"/>
    <n v="0.6"/>
    <s v="Cash On Delivery"/>
    <s v="Delivered"/>
    <n v="9"/>
    <s v="Grab"/>
    <n v="-72.819999999999993"/>
  </r>
  <r>
    <s v="Unkown"/>
    <d v="2024-02-25T00:00:00"/>
    <d v="1899-12-30T12:00:00"/>
    <x v="6"/>
    <x v="9"/>
    <s v="Fast Food"/>
    <n v="44"/>
    <n v="4.5999999999999996"/>
    <n v="63"/>
    <n v="1014.04"/>
    <n v="120"/>
    <s v="Credit Card"/>
    <s v="Delivered"/>
    <n v="1"/>
    <s v="Zomato Valet"/>
    <n v="157.30000000000001"/>
  </r>
  <r>
    <s v="ZOM-10052"/>
    <d v="2024-04-27T00:00:00"/>
    <d v="1899-12-30T12:00:00"/>
    <x v="5"/>
    <x v="7"/>
    <s v="Chinese"/>
    <n v="63"/>
    <n v="2"/>
    <n v="0"/>
    <n v="1164.73"/>
    <n v="0"/>
    <s v="Credit Card"/>
    <s v="Delivered"/>
    <n v="6"/>
    <s v="Shadowfax"/>
    <n v="137.87"/>
  </r>
  <r>
    <s v="ZOM-10053"/>
    <d v="2024-05-31T00:00:00"/>
    <d v="1899-12-30T05:58:00"/>
    <x v="6"/>
    <x v="7"/>
    <s v="Fast Food"/>
    <n v="32"/>
    <n v="3.8"/>
    <n v="22"/>
    <n v="1458.48"/>
    <n v="50"/>
    <s v="Cash On Delivery"/>
    <s v="Delivered"/>
    <n v="4"/>
    <s v="Zomato Valet"/>
    <n v="118.96"/>
  </r>
  <r>
    <s v="ZOM-10054"/>
    <d v="2024-04-07T00:00:00"/>
    <d v="1899-12-30T12:00:00"/>
    <x v="8"/>
    <x v="6"/>
    <s v="Mughlai"/>
    <n v="33"/>
    <n v="4.0999999999999996"/>
    <n v="60"/>
    <n v="854.05"/>
    <n v="100"/>
    <s v="Upi"/>
    <s v="Refunded"/>
    <n v="10"/>
    <s v="Shadowfax"/>
    <n v="102.59"/>
  </r>
  <r>
    <s v="ZOM-10055"/>
    <d v="2024-02-20T00:00:00"/>
    <d v="1899-12-30T12:00:00"/>
    <x v="9"/>
    <x v="5"/>
    <s v="Mughlai"/>
    <n v="52"/>
    <n v="4.7"/>
    <n v="22"/>
    <n v="1366.99"/>
    <n v="0"/>
    <s v="Wallet"/>
    <s v="Cancelled"/>
    <n v="1"/>
    <s v="Shadowfax"/>
    <n v="123.89"/>
  </r>
  <r>
    <s v="ZOM-10057"/>
    <d v="2024-04-21T00:00:00"/>
    <d v="1899-12-30T10:00:00"/>
    <x v="9"/>
    <x v="6"/>
    <s v="Mughlai"/>
    <n v="52"/>
    <n v="1.1000000000000001"/>
    <n v="55"/>
    <n v="157.27000000000001"/>
    <n v="0.5"/>
    <s v="Upi"/>
    <s v="Delivered"/>
    <n v="3"/>
    <s v="In-House"/>
    <n v="241.53"/>
  </r>
  <r>
    <s v="ZOM-10058"/>
    <d v="2024-03-28T00:00:00"/>
    <d v="1899-12-30T08:39:00"/>
    <x v="14"/>
    <x v="5"/>
    <s v="Street Food"/>
    <n v="23"/>
    <n v="2.2000000000000002"/>
    <n v="19"/>
    <n v="315.25"/>
    <n v="150"/>
    <s v="Credit Card"/>
    <s v="Delivered"/>
    <n v="2"/>
    <s v="Shadowfax"/>
    <n v="103.81"/>
  </r>
  <r>
    <s v="ZOM-10060"/>
    <d v="2024-06-15T00:00:00"/>
    <d v="1899-12-30T12:00:00"/>
    <x v="7"/>
    <x v="7"/>
    <s v="Mughlai"/>
    <n v="43"/>
    <n v="4.7"/>
    <n v="49"/>
    <n v="548.23"/>
    <n v="0"/>
    <s v="Wallet"/>
    <s v="Refunded"/>
    <n v="7"/>
    <s v="In-House"/>
    <n v="-0.13"/>
  </r>
  <r>
    <s v="ZOM-10061"/>
    <d v="2024-01-19T00:00:00"/>
    <d v="1899-12-30T12:00:00"/>
    <x v="8"/>
    <x v="7"/>
    <s v="Street Food"/>
    <n v="60"/>
    <n v="3.6"/>
    <n v="0"/>
    <n v="2460.9899999999998"/>
    <n v="0.2"/>
    <s v="Cash On Delivery"/>
    <s v="Delivered"/>
    <n v="6"/>
    <s v="Grab"/>
    <n v="147.84"/>
  </r>
  <r>
    <s v="ZOM-10062"/>
    <d v="2024-03-16T00:00:00"/>
    <d v="1899-12-30T12:00:00"/>
    <x v="0"/>
    <x v="1"/>
    <s v="South Indian"/>
    <n v="63"/>
    <n v="4.4000000000000004"/>
    <n v="36"/>
    <n v="2333.2199999999998"/>
    <n v="120"/>
    <s v="Credit Card"/>
    <s v="Delivered"/>
    <n v="7"/>
    <s v="Zomato Valet"/>
    <n v="68.36"/>
  </r>
  <r>
    <s v="Unkown"/>
    <d v="2024-02-24T00:00:00"/>
    <d v="1899-12-30T12:00:00"/>
    <x v="2"/>
    <x v="8"/>
    <s v="Biryani"/>
    <n v="42"/>
    <n v="3.3"/>
    <n v="73"/>
    <n v="1589.32"/>
    <n v="75"/>
    <s v="Net Banking"/>
    <s v="Cancelled"/>
    <n v="9"/>
    <s v="Grab"/>
    <n v="46.62"/>
  </r>
  <r>
    <s v="ZOM-10065"/>
    <d v="2024-07-07T00:00:00"/>
    <d v="1899-12-30T10:18:00"/>
    <x v="1"/>
    <x v="9"/>
    <s v="Chinese"/>
    <n v="57"/>
    <n v="1.7"/>
    <n v="28"/>
    <n v="2056.1999999999998"/>
    <n v="120"/>
    <s v="Debit Card"/>
    <s v="Refunded"/>
    <n v="2"/>
    <s v="Shadowfax"/>
    <n v="223.19"/>
  </r>
  <r>
    <s v="ZOM-10066"/>
    <d v="2024-02-03T00:00:00"/>
    <d v="1899-12-30T12:00:00"/>
    <x v="7"/>
    <x v="10"/>
    <s v="South Indian"/>
    <n v="35"/>
    <n v="4.5"/>
    <n v="77"/>
    <n v="0"/>
    <n v="150"/>
    <s v="Upi"/>
    <s v="Refunded"/>
    <n v="7"/>
    <s v="Shadowfax"/>
    <n v="13.59"/>
  </r>
  <r>
    <s v="ZOM-10067"/>
    <d v="2024-03-28T00:00:00"/>
    <d v="1899-12-30T11:17:00"/>
    <x v="10"/>
    <x v="4"/>
    <s v="Italian"/>
    <n v="28"/>
    <n v="4.5"/>
    <n v="38"/>
    <n v="715.93"/>
    <n v="50"/>
    <s v="Upi"/>
    <s v="Cancelled"/>
    <n v="4"/>
    <s v="Grab"/>
    <n v="91.42"/>
  </r>
  <r>
    <s v="Unkown"/>
    <d v="2024-03-28T00:00:00"/>
    <d v="1899-12-30T12:00:00"/>
    <x v="6"/>
    <x v="9"/>
    <s v="Italian"/>
    <n v="27"/>
    <n v="3.3"/>
    <n v="36"/>
    <n v="1167.44"/>
    <n v="50"/>
    <s v="Cash On Delivery"/>
    <s v="Delivered"/>
    <n v="6"/>
    <s v="Grab"/>
    <n v="11.4"/>
  </r>
  <r>
    <s v="ZOM-10069"/>
    <d v="2024-06-04T00:00:00"/>
    <d v="1899-12-30T09:43:00"/>
    <x v="12"/>
    <x v="5"/>
    <s v="Italian, Chinese"/>
    <n v="25"/>
    <n v="3.6"/>
    <n v="71"/>
    <n v="2446.92"/>
    <n v="50"/>
    <s v="Cash On Delivery"/>
    <s v="Cancelled"/>
    <n v="1"/>
    <s v="Rapido"/>
    <n v="-66.86"/>
  </r>
  <r>
    <s v="ZOM-10070"/>
    <d v="2024-06-09T00:00:00"/>
    <d v="1899-12-30T05:06:00"/>
    <x v="6"/>
    <x v="10"/>
    <s v="Chinese"/>
    <n v="59"/>
    <n v="1.3"/>
    <n v="45"/>
    <n v="257.82"/>
    <n v="100"/>
    <s v="Net Banking"/>
    <s v="Cancelled"/>
    <n v="3"/>
    <s v="Grab"/>
    <n v="178.39"/>
  </r>
  <r>
    <s v="ZOM-10071"/>
    <d v="2024-07-18T00:00:00"/>
    <d v="1899-12-30T09:10:00"/>
    <x v="0"/>
    <x v="5"/>
    <s v="South Indian"/>
    <n v="28"/>
    <n v="2"/>
    <n v="51"/>
    <n v="1724.41"/>
    <n v="0"/>
    <s v="Upi"/>
    <s v="Delivered"/>
    <n v="1"/>
    <s v="Rapido"/>
    <n v="136.38"/>
  </r>
  <r>
    <s v="ZOM-10072"/>
    <d v="2024-03-22T00:00:00"/>
    <d v="1899-12-30T12:00:00"/>
    <x v="9"/>
    <x v="8"/>
    <s v="Mughlai"/>
    <n v="47"/>
    <n v="0"/>
    <n v="51"/>
    <n v="1987.13"/>
    <n v="0.2"/>
    <s v="Net Banking"/>
    <s v="Delivered"/>
    <n v="0"/>
    <s v="Unknown"/>
    <n v="98.71"/>
  </r>
  <r>
    <s v="ZOM-121"/>
    <d v="2024-01-01T00:00:00"/>
    <d v="1899-12-30T12:00:00"/>
    <x v="2"/>
    <x v="1"/>
    <s v="Biryani"/>
    <n v="62"/>
    <n v="2.8"/>
    <n v="27"/>
    <n v="1322.92"/>
    <n v="0.6"/>
    <s v="Net Banking"/>
    <s v="Refunded"/>
    <n v="6"/>
    <s v="Dunzo"/>
    <n v="231.37"/>
  </r>
  <r>
    <s v="ZOM-10075"/>
    <d v="2024-04-05T00:00:00"/>
    <d v="1899-12-30T12:00:00"/>
    <x v="0"/>
    <x v="9"/>
    <s v="South Indian"/>
    <n v="0"/>
    <n v="1.7"/>
    <n v="65"/>
    <n v="1300.78"/>
    <n v="75"/>
    <s v="Credit Card"/>
    <s v="Cancelled"/>
    <n v="5"/>
    <s v="Grab"/>
    <n v="-59.88"/>
  </r>
  <r>
    <s v="ZOM-10076"/>
    <d v="2024-05-14T00:00:00"/>
    <d v="1899-12-30T08:30:00"/>
    <x v="3"/>
    <x v="8"/>
    <s v="Desserts"/>
    <n v="35"/>
    <n v="0"/>
    <n v="60"/>
    <n v="1945.08"/>
    <n v="0"/>
    <s v="Credit Card"/>
    <s v="Delivered"/>
    <n v="7"/>
    <s v="Dunzo"/>
    <n v="-22.68"/>
  </r>
  <r>
    <s v="ZOM-10078"/>
    <d v="2024-04-21T00:00:00"/>
    <d v="1899-12-30T12:00:00"/>
    <x v="11"/>
    <x v="10"/>
    <s v="Fast Food"/>
    <n v="18"/>
    <n v="4.8"/>
    <n v="19"/>
    <n v="553.35"/>
    <n v="120"/>
    <s v="Credit Card"/>
    <s v="Refunded"/>
    <n v="3"/>
    <s v="In-House"/>
    <n v="153.96"/>
  </r>
  <r>
    <s v="ZOM-10079"/>
    <d v="2024-03-08T00:00:00"/>
    <d v="1899-12-30T12:00:00"/>
    <x v="0"/>
    <x v="1"/>
    <s v="Mughlai"/>
    <n v="54"/>
    <n v="3.7"/>
    <n v="19"/>
    <n v="0"/>
    <n v="0"/>
    <s v="Debit Card"/>
    <s v="Delivered"/>
    <n v="2"/>
    <s v="Dunzo"/>
    <n v="0"/>
  </r>
  <r>
    <s v="ZOM-10080"/>
    <d v="2024-04-21T00:00:00"/>
    <d v="1899-12-30T12:00:00"/>
    <x v="7"/>
    <x v="8"/>
    <s v="North Indian"/>
    <n v="18"/>
    <n v="2.2000000000000002"/>
    <n v="76"/>
    <n v="0"/>
    <n v="0.2"/>
    <s v="Upi"/>
    <s v="Delivered"/>
    <n v="9"/>
    <s v="Grab"/>
    <n v="41.9"/>
  </r>
  <r>
    <s v="ZOM-10082"/>
    <d v="2024-02-07T00:00:00"/>
    <d v="1899-12-30T12:00:00"/>
    <x v="2"/>
    <x v="7"/>
    <s v="North Indian"/>
    <n v="44"/>
    <n v="3.3"/>
    <n v="27"/>
    <n v="2321.33"/>
    <n v="0.2"/>
    <s v="Net Banking"/>
    <s v="Delivered"/>
    <n v="7"/>
    <s v="Shadowfax"/>
    <n v="52.57"/>
  </r>
  <r>
    <s v="ZOM-10083"/>
    <d v="2024-01-13T00:00:00"/>
    <d v="1899-12-30T12:00:00"/>
    <x v="12"/>
    <x v="5"/>
    <s v="South Indian"/>
    <n v="38"/>
    <n v="2.7"/>
    <n v="39"/>
    <n v="1171.29"/>
    <n v="100"/>
    <s v="Net Banking"/>
    <s v="Cancelled"/>
    <n v="9"/>
    <s v="Unknown"/>
    <n v="-16.39"/>
  </r>
  <r>
    <s v="ZOM-10084"/>
    <d v="2024-04-26T00:00:00"/>
    <d v="1899-12-30T12:00:00"/>
    <x v="2"/>
    <x v="9"/>
    <s v="Mughlai"/>
    <n v="28"/>
    <n v="2"/>
    <n v="26"/>
    <n v="798.47"/>
    <n v="0.6"/>
    <s v="Credit Card"/>
    <s v="Refunded"/>
    <n v="1"/>
    <s v="Grab"/>
    <n v="0"/>
  </r>
  <r>
    <s v="ZOM-10085"/>
    <d v="2024-03-19T00:00:00"/>
    <d v="1899-12-30T12:00:00"/>
    <x v="6"/>
    <x v="8"/>
    <s v="Street Food"/>
    <n v="56"/>
    <n v="2.2000000000000002"/>
    <n v="19"/>
    <n v="920.36"/>
    <n v="0.2"/>
    <s v="Debit Card"/>
    <s v="Cancelled"/>
    <n v="10"/>
    <s v="Grab"/>
    <n v="158.02000000000001"/>
  </r>
  <r>
    <s v="ZOM-10088"/>
    <d v="2024-07-12T00:00:00"/>
    <d v="1899-12-30T12:00:00"/>
    <x v="12"/>
    <x v="6"/>
    <s v="South Indian"/>
    <n v="37"/>
    <n v="2.8"/>
    <n v="58"/>
    <n v="1152.1199999999999"/>
    <n v="0.5"/>
    <s v="Debit Card"/>
    <s v="Unknown"/>
    <n v="3"/>
    <s v="Shadowfax"/>
    <n v="-24.24"/>
  </r>
  <r>
    <s v="ZOM-140"/>
    <d v="2024-03-06T00:00:00"/>
    <d v="1899-12-30T06:15:00"/>
    <x v="15"/>
    <x v="9"/>
    <s v="Mughlai"/>
    <n v="0"/>
    <n v="1.4"/>
    <n v="32"/>
    <n v="1116.81"/>
    <n v="120"/>
    <s v="Upi"/>
    <s v="Delivered"/>
    <n v="4"/>
    <s v="Dunzo"/>
    <n v="-67"/>
  </r>
  <r>
    <s v="ZOM-10091"/>
    <d v="2024-04-12T00:00:00"/>
    <d v="1899-12-30T12:00:00"/>
    <x v="6"/>
    <x v="4"/>
    <s v="Fast Food"/>
    <n v="46"/>
    <n v="2.5"/>
    <n v="18"/>
    <n v="2172.9299999999998"/>
    <n v="50"/>
    <s v="Cash On Delivery"/>
    <s v="Delivered"/>
    <n v="0"/>
    <s v="In-House"/>
    <n v="158.85"/>
  </r>
  <r>
    <s v="ZOM-10092"/>
    <d v="2024-05-12T00:00:00"/>
    <d v="1899-12-30T05:51:00"/>
    <x v="9"/>
    <x v="7"/>
    <s v="Bakery"/>
    <n v="49"/>
    <n v="1.3"/>
    <n v="45"/>
    <n v="907.53"/>
    <n v="120"/>
    <s v="Wallet"/>
    <s v="Delivered"/>
    <n v="8"/>
    <s v="Dunzo"/>
    <n v="135.61000000000001"/>
  </r>
  <r>
    <s v="ZOM-10093"/>
    <d v="2024-01-01T00:00:00"/>
    <d v="1899-12-30T03:06:00"/>
    <x v="9"/>
    <x v="1"/>
    <s v="Chinese"/>
    <n v="63"/>
    <n v="3.9"/>
    <n v="63"/>
    <n v="0"/>
    <n v="0.2"/>
    <s v="Net Banking"/>
    <s v="Cancelled"/>
    <n v="7"/>
    <s v="Zomato Valet"/>
    <n v="-40.15"/>
  </r>
  <r>
    <s v="ZOM-10094"/>
    <d v="2024-02-18T00:00:00"/>
    <d v="1899-12-30T12:00:00"/>
    <x v="12"/>
    <x v="10"/>
    <s v="Bakery"/>
    <n v="21"/>
    <n v="2.7"/>
    <n v="80"/>
    <n v="1978.97"/>
    <n v="50"/>
    <s v="Wallet"/>
    <s v="Delivered"/>
    <n v="10"/>
    <s v="In-House"/>
    <n v="237.99"/>
  </r>
  <r>
    <s v="ZOM-10095"/>
    <d v="2024-04-15T00:00:00"/>
    <d v="1899-12-30T08:33:00"/>
    <x v="2"/>
    <x v="8"/>
    <s v="Biryani"/>
    <n v="29"/>
    <n v="3.8"/>
    <n v="29"/>
    <n v="1930.64"/>
    <n v="150"/>
    <s v="Wallet"/>
    <s v="Refunded"/>
    <n v="0"/>
    <s v="Unknown"/>
    <n v="-32.04"/>
  </r>
  <r>
    <s v="ZOM-10096"/>
    <d v="2024-02-11T00:00:00"/>
    <d v="1899-12-30T09:46:00"/>
    <x v="13"/>
    <x v="0"/>
    <s v="Street Food"/>
    <n v="62"/>
    <n v="3.7"/>
    <n v="64"/>
    <n v="1111.43"/>
    <n v="120"/>
    <s v="Unknown"/>
    <s v="Refunded"/>
    <n v="8"/>
    <s v="Shadowfax"/>
    <n v="133.72"/>
  </r>
  <r>
    <s v="ZOM-10097"/>
    <d v="2024-07-17T00:00:00"/>
    <d v="1899-12-30T12:00:00"/>
    <x v="13"/>
    <x v="8"/>
    <s v="Biryani"/>
    <n v="39"/>
    <n v="4.7"/>
    <n v="0"/>
    <n v="2330.14"/>
    <n v="150"/>
    <s v="Net Banking"/>
    <s v="Delivered"/>
    <n v="4"/>
    <s v="Shadowfax"/>
    <n v="-27.41"/>
  </r>
  <r>
    <s v="ZOM-10099"/>
    <d v="2024-02-24T00:00:00"/>
    <d v="1899-12-30T12:00:00"/>
    <x v="5"/>
    <x v="9"/>
    <s v="Not Known"/>
    <n v="29"/>
    <n v="3.2"/>
    <n v="44"/>
    <n v="2288.15"/>
    <n v="100"/>
    <s v="Cash On Delivery"/>
    <s v="Delivered"/>
    <n v="10"/>
    <s v="Zomato Valet"/>
    <n v="226.26"/>
  </r>
  <r>
    <s v="ZOM-10100"/>
    <d v="2024-01-23T00:00:00"/>
    <d v="1899-12-30T09:36:00"/>
    <x v="16"/>
    <x v="4"/>
    <s v="Street Food"/>
    <n v="64"/>
    <n v="4.8"/>
    <n v="0"/>
    <n v="2201.9499999999998"/>
    <n v="0"/>
    <s v="Net Banking"/>
    <s v="Refunded"/>
    <n v="4"/>
    <s v="Grab"/>
    <n v="-32.99"/>
  </r>
  <r>
    <s v="ZOM-10101"/>
    <d v="2024-01-30T00:00:00"/>
    <d v="1899-12-30T06:11:00"/>
    <x v="9"/>
    <x v="1"/>
    <s v="South Indian"/>
    <n v="40"/>
    <n v="3.6"/>
    <n v="54"/>
    <n v="286.14999999999998"/>
    <n v="75"/>
    <s v="Net Banking"/>
    <s v="Delivered"/>
    <n v="1"/>
    <s v="Dunzo"/>
    <n v="164.14"/>
  </r>
  <r>
    <s v="ZOM-10102"/>
    <d v="2024-07-06T00:00:00"/>
    <d v="1899-12-30T12:00:00"/>
    <x v="8"/>
    <x v="10"/>
    <s v="Street Food"/>
    <n v="19"/>
    <n v="3.5"/>
    <n v="66"/>
    <n v="1950.7"/>
    <n v="0"/>
    <s v="Debit Card"/>
    <s v="Cancelled"/>
    <n v="5"/>
    <s v="Shadowfax"/>
    <n v="50.94"/>
  </r>
  <r>
    <s v="ZOM-10103"/>
    <d v="2024-06-06T00:00:00"/>
    <d v="1899-12-30T05:39:00"/>
    <x v="13"/>
    <x v="4"/>
    <s v="Chinese"/>
    <n v="60"/>
    <n v="4.5999999999999996"/>
    <n v="75"/>
    <n v="2304.61"/>
    <n v="0"/>
    <s v="Wallet"/>
    <s v="Refunded"/>
    <n v="3"/>
    <s v="Grab"/>
    <n v="135.6"/>
  </r>
  <r>
    <s v="ZOM-10107"/>
    <d v="2024-02-09T00:00:00"/>
    <d v="1899-12-30T02:32:00"/>
    <x v="1"/>
    <x v="7"/>
    <s v="Mughlai"/>
    <n v="54"/>
    <n v="3.8"/>
    <n v="30"/>
    <n v="1899.8"/>
    <n v="50"/>
    <s v="Upi"/>
    <s v="Delivered"/>
    <n v="7"/>
    <s v="Unknown"/>
    <n v="-49.94"/>
  </r>
  <r>
    <s v="ZOM-10108"/>
    <d v="2024-01-17T00:00:00"/>
    <d v="1899-12-30T12:00:00"/>
    <x v="0"/>
    <x v="8"/>
    <s v="Fast Food"/>
    <n v="51"/>
    <n v="1.1000000000000001"/>
    <n v="44"/>
    <n v="1584.15"/>
    <n v="0.1"/>
    <s v="Credit Card"/>
    <s v="Delivered"/>
    <n v="0"/>
    <s v="In-House"/>
    <n v="13.88"/>
  </r>
  <r>
    <s v="ZOM-10109"/>
    <d v="2024-03-11T00:00:00"/>
    <d v="1899-12-30T07:43:00"/>
    <x v="17"/>
    <x v="4"/>
    <s v="Biryani"/>
    <n v="52"/>
    <n v="3.3"/>
    <n v="63"/>
    <n v="1460.34"/>
    <n v="100"/>
    <s v="Wallet"/>
    <s v="Delivered"/>
    <n v="4"/>
    <s v="In-House"/>
    <n v="56.1"/>
  </r>
  <r>
    <s v="ZOM-10110"/>
    <d v="2024-03-08T00:00:00"/>
    <d v="1899-12-30T12:00:00"/>
    <x v="6"/>
    <x v="1"/>
    <s v="Fast Food"/>
    <n v="30"/>
    <n v="2"/>
    <n v="44"/>
    <n v="602.58000000000004"/>
    <n v="50"/>
    <s v="Upi"/>
    <s v="Delivered"/>
    <n v="1"/>
    <s v="Grab"/>
    <n v="216.38"/>
  </r>
  <r>
    <s v="ZOM-10111"/>
    <d v="2024-02-16T00:00:00"/>
    <d v="1899-12-30T12:00:00"/>
    <x v="5"/>
    <x v="11"/>
    <s v="Desserts"/>
    <n v="62"/>
    <n v="2.2999999999999998"/>
    <n v="0"/>
    <n v="1724.37"/>
    <n v="0.2"/>
    <s v="Net Banking"/>
    <s v="Refunded"/>
    <n v="8"/>
    <s v="Grab"/>
    <n v="42.86"/>
  </r>
  <r>
    <s v="ZOM-10112"/>
    <d v="2024-02-03T00:00:00"/>
    <d v="1899-12-30T07:39:00"/>
    <x v="0"/>
    <x v="6"/>
    <s v="North Indian"/>
    <n v="51"/>
    <n v="2.2999999999999998"/>
    <n v="47"/>
    <n v="1457.89"/>
    <n v="0.15"/>
    <s v="Upi"/>
    <s v="Delivered"/>
    <n v="9"/>
    <s v="Rapido"/>
    <n v="-73.45"/>
  </r>
  <r>
    <s v="Unkown"/>
    <d v="2024-07-05T00:00:00"/>
    <d v="1899-12-30T08:00:00"/>
    <x v="2"/>
    <x v="9"/>
    <s v="Not Known"/>
    <n v="23"/>
    <n v="3.5"/>
    <n v="74"/>
    <n v="2227.42"/>
    <n v="0.2"/>
    <s v="Cash On Delivery"/>
    <s v="Delivered"/>
    <n v="8"/>
    <s v="Grab"/>
    <n v="9.9"/>
  </r>
  <r>
    <s v="ZOM-10116"/>
    <d v="2024-04-06T00:00:00"/>
    <d v="1899-12-30T12:00:00"/>
    <x v="6"/>
    <x v="5"/>
    <s v="Italian, Fast Food"/>
    <n v="58"/>
    <n v="2.8"/>
    <n v="77"/>
    <n v="0"/>
    <n v="0"/>
    <s v="Unknown"/>
    <s v="Delivered"/>
    <n v="1"/>
    <s v="Shadowfax"/>
    <n v="-8.33"/>
  </r>
  <r>
    <s v="ZOM-10117"/>
    <d v="2024-04-05T00:00:00"/>
    <d v="1899-12-30T03:49:00"/>
    <x v="10"/>
    <x v="7"/>
    <s v="Biryani"/>
    <n v="33"/>
    <n v="4.9000000000000004"/>
    <n v="17"/>
    <n v="594.04999999999995"/>
    <n v="0"/>
    <s v="Wallet"/>
    <s v="Refunded"/>
    <n v="9"/>
    <s v="Rapido"/>
    <n v="18.61"/>
  </r>
  <r>
    <s v="ZOM-10118"/>
    <d v="2024-01-29T00:00:00"/>
    <d v="1899-12-30T08:03:00"/>
    <x v="12"/>
    <x v="5"/>
    <s v="North Indian"/>
    <n v="23"/>
    <n v="3"/>
    <n v="58"/>
    <n v="2335.42"/>
    <n v="0"/>
    <s v="Debit Card"/>
    <s v="Cancelled"/>
    <n v="6"/>
    <s v="Grab"/>
    <n v="44.66"/>
  </r>
  <r>
    <s v="ZOM-145"/>
    <d v="2024-04-22T00:00:00"/>
    <d v="1899-12-30T12:00:00"/>
    <x v="2"/>
    <x v="1"/>
    <s v="Street Food"/>
    <n v="52"/>
    <n v="1"/>
    <n v="63"/>
    <n v="1866.11"/>
    <n v="75"/>
    <s v="Net Banking"/>
    <s v="Delivered"/>
    <n v="9"/>
    <s v="Shadowfax"/>
    <n v="131.5"/>
  </r>
  <r>
    <s v="ZOM-10120"/>
    <d v="2024-02-03T00:00:00"/>
    <d v="1899-12-30T12:00:00"/>
    <x v="17"/>
    <x v="7"/>
    <s v="Biryani"/>
    <n v="0"/>
    <n v="3.6"/>
    <n v="25"/>
    <n v="1233.98"/>
    <n v="0.5"/>
    <s v="Debit Card"/>
    <s v="Delivered"/>
    <n v="4"/>
    <s v="Rapido"/>
    <n v="95.45"/>
  </r>
  <r>
    <s v="ZOM-10121"/>
    <d v="2024-09-06T00:00:00"/>
    <d v="1899-12-30T12:00:00"/>
    <x v="3"/>
    <x v="1"/>
    <s v="Fast Food"/>
    <n v="56"/>
    <n v="2.4"/>
    <n v="56"/>
    <n v="2130.75"/>
    <n v="150"/>
    <s v="Debit Card"/>
    <s v="Delivered"/>
    <n v="8"/>
    <s v="Unknown"/>
    <n v="-68.56"/>
  </r>
  <r>
    <s v="ZOM-10123"/>
    <d v="2024-03-26T00:00:00"/>
    <d v="1899-12-30T12:00:00"/>
    <x v="6"/>
    <x v="10"/>
    <s v="North Indian, Street Food"/>
    <n v="38"/>
    <n v="1.9"/>
    <n v="61"/>
    <n v="2493.73"/>
    <n v="120"/>
    <s v="Net Banking"/>
    <s v="Cancelled"/>
    <n v="1"/>
    <s v="Rapido"/>
    <n v="85.6"/>
  </r>
  <r>
    <s v="ZOM-10126"/>
    <d v="2024-06-30T00:00:00"/>
    <d v="1899-12-30T12:00:00"/>
    <x v="8"/>
    <x v="1"/>
    <s v="Street Food"/>
    <n v="0"/>
    <n v="2.4"/>
    <n v="79"/>
    <n v="776.59"/>
    <n v="0.5"/>
    <s v="Upi"/>
    <s v="Refunded"/>
    <n v="7"/>
    <s v="Rapido"/>
    <n v="126.42"/>
  </r>
  <r>
    <s v="ZOM-10128"/>
    <d v="2024-05-25T00:00:00"/>
    <d v="1899-12-30T12:00:00"/>
    <x v="5"/>
    <x v="1"/>
    <s v="Desserts"/>
    <n v="32"/>
    <n v="0"/>
    <n v="16"/>
    <n v="2322.54"/>
    <n v="0.15"/>
    <s v="Credit Card"/>
    <s v="Delivered"/>
    <n v="4"/>
    <s v="Grab"/>
    <n v="162.66"/>
  </r>
  <r>
    <s v="ZOM-10129"/>
    <d v="2024-09-07T00:00:00"/>
    <d v="1899-12-30T12:00:00"/>
    <x v="18"/>
    <x v="12"/>
    <s v="Chinese"/>
    <n v="51"/>
    <n v="4.9000000000000004"/>
    <n v="43"/>
    <n v="1067.33"/>
    <n v="100"/>
    <s v="Credit Card"/>
    <s v="Delivered"/>
    <n v="2"/>
    <s v="In-House"/>
    <n v="113.2"/>
  </r>
  <r>
    <s v="ZOM-10131"/>
    <d v="2024-02-21T00:00:00"/>
    <d v="1899-12-30T12:07:00"/>
    <x v="12"/>
    <x v="1"/>
    <s v="Mughlai"/>
    <n v="23"/>
    <n v="1"/>
    <n v="50"/>
    <n v="1595.04"/>
    <n v="0"/>
    <s v="Credit Card"/>
    <s v="Delivered"/>
    <n v="2"/>
    <s v="Zomato Valet"/>
    <n v="-26.76"/>
  </r>
  <r>
    <s v="ZOM-10132"/>
    <d v="2024-05-26T00:00:00"/>
    <d v="1899-12-30T12:00:00"/>
    <x v="16"/>
    <x v="5"/>
    <s v="Italian, Mughlai"/>
    <n v="62"/>
    <n v="2.2999999999999998"/>
    <n v="41"/>
    <n v="1776.07"/>
    <n v="0.6"/>
    <s v="Upi"/>
    <s v="Refunded"/>
    <n v="10"/>
    <s v="Rapido"/>
    <n v="105.67"/>
  </r>
  <r>
    <s v="ZOM-10133"/>
    <d v="2024-02-16T00:00:00"/>
    <d v="1899-12-30T12:00:00"/>
    <x v="1"/>
    <x v="9"/>
    <s v="Italian"/>
    <n v="18"/>
    <n v="3.8"/>
    <n v="23"/>
    <n v="852.5"/>
    <n v="0.1"/>
    <s v="Upi"/>
    <s v="Delivered"/>
    <n v="6"/>
    <s v="In-House"/>
    <n v="-68.27"/>
  </r>
  <r>
    <s v="ZOM-10136"/>
    <d v="2024-02-23T00:00:00"/>
    <d v="1899-12-30T12:00:00"/>
    <x v="1"/>
    <x v="4"/>
    <s v="Street Food"/>
    <n v="27"/>
    <n v="4.2"/>
    <n v="36"/>
    <n v="289.56"/>
    <n v="0.5"/>
    <s v="Upi"/>
    <s v="Delivered"/>
    <n v="10"/>
    <s v="Rapido"/>
    <n v="67.13"/>
  </r>
  <r>
    <s v="ZOM-10137"/>
    <d v="2024-07-13T00:00:00"/>
    <d v="1899-12-30T12:00:00"/>
    <x v="0"/>
    <x v="1"/>
    <s v="Mughlai"/>
    <n v="34"/>
    <n v="2.6"/>
    <n v="57"/>
    <n v="1997.29"/>
    <n v="0"/>
    <s v="Upi"/>
    <s v="Cancelled"/>
    <n v="9"/>
    <s v="Zomato Valet"/>
    <n v="-44.7"/>
  </r>
  <r>
    <s v="ZOM-10139"/>
    <d v="2024-01-01T00:00:00"/>
    <d v="1899-12-30T05:00:00"/>
    <x v="8"/>
    <x v="3"/>
    <s v="Italian"/>
    <n v="57"/>
    <n v="2.6"/>
    <n v="33"/>
    <n v="268.54000000000002"/>
    <n v="0"/>
    <s v="Wallet"/>
    <s v="Refunded"/>
    <n v="7"/>
    <s v="In-House"/>
    <n v="45.92"/>
  </r>
  <r>
    <s v="ZOM-10141"/>
    <d v="2024-10-01T00:00:00"/>
    <d v="1899-12-30T12:00:00"/>
    <x v="7"/>
    <x v="8"/>
    <s v="Mughlai"/>
    <n v="58"/>
    <n v="4.8"/>
    <n v="55"/>
    <n v="1403.29"/>
    <n v="75"/>
    <s v="Net Banking"/>
    <s v="Delivered"/>
    <n v="5"/>
    <s v="Dunzo"/>
    <n v="117.22"/>
  </r>
  <r>
    <s v="ZOM-10142"/>
    <d v="2024-10-06T00:00:00"/>
    <d v="1899-12-30T12:00:00"/>
    <x v="9"/>
    <x v="5"/>
    <s v="Biryani"/>
    <n v="65"/>
    <n v="1.7"/>
    <n v="34"/>
    <n v="1688.79"/>
    <n v="0.15"/>
    <s v="Cod"/>
    <s v="Delivered"/>
    <n v="8"/>
    <s v="Grab"/>
    <n v="65.260000000000005"/>
  </r>
  <r>
    <s v="ZOM-10143"/>
    <d v="2024-03-29T00:00:00"/>
    <d v="1899-12-30T01:51:00"/>
    <x v="0"/>
    <x v="8"/>
    <s v="Biryani"/>
    <n v="46"/>
    <n v="2.2999999999999998"/>
    <n v="20"/>
    <n v="351.73"/>
    <n v="0.5"/>
    <s v="Net Banking"/>
    <s v="Refunded"/>
    <n v="8"/>
    <s v="In-House"/>
    <n v="114.28"/>
  </r>
  <r>
    <s v="ZOM-10145"/>
    <d v="2024-03-11T00:00:00"/>
    <d v="1899-12-30T02:34:00"/>
    <x v="11"/>
    <x v="0"/>
    <s v="Biryani, Chinese"/>
    <n v="29"/>
    <n v="1.4"/>
    <n v="70"/>
    <n v="639.76"/>
    <n v="150"/>
    <s v="Debit Card"/>
    <s v="Failed"/>
    <n v="1"/>
    <s v="Zomato Valet"/>
    <n v="151.02000000000001"/>
  </r>
  <r>
    <s v="ZOM-101"/>
    <d v="2024-07-03T00:00:00"/>
    <d v="1899-12-30T12:00:00"/>
    <x v="6"/>
    <x v="1"/>
    <s v="Desserts"/>
    <n v="59"/>
    <n v="2.8"/>
    <n v="34"/>
    <n v="1883.7"/>
    <n v="0"/>
    <s v="Wallet"/>
    <s v="Delivered"/>
    <n v="3"/>
    <s v="Unknown"/>
    <n v="21.42"/>
  </r>
  <r>
    <s v="ZOM-10148"/>
    <d v="2024-05-31T00:00:00"/>
    <d v="1899-12-30T12:00:00"/>
    <x v="0"/>
    <x v="6"/>
    <s v="Italian"/>
    <n v="31"/>
    <n v="3.4"/>
    <n v="30"/>
    <n v="771.87"/>
    <n v="0.2"/>
    <s v="Net Banking"/>
    <s v="Cancelled"/>
    <n v="3"/>
    <s v="Zomato Valet"/>
    <n v="-77.62"/>
  </r>
  <r>
    <s v="ZOM-10149"/>
    <d v="2024-03-13T00:00:00"/>
    <d v="1899-12-30T02:12:00"/>
    <x v="8"/>
    <x v="7"/>
    <s v="Bakery"/>
    <n v="37"/>
    <n v="1"/>
    <n v="22"/>
    <n v="2468.12"/>
    <n v="120"/>
    <s v="Net Banking"/>
    <s v="Refunded"/>
    <n v="8"/>
    <s v="Grab"/>
    <n v="-65.77"/>
  </r>
  <r>
    <s v="ZOM-10150"/>
    <d v="2024-03-26T00:00:00"/>
    <d v="1899-12-30T12:00:00"/>
    <x v="12"/>
    <x v="0"/>
    <s v="Mughlai, Chinese"/>
    <n v="55"/>
    <n v="2.7"/>
    <n v="56"/>
    <n v="667.55"/>
    <n v="0.15"/>
    <s v="Wallet"/>
    <s v="Delivered"/>
    <n v="3"/>
    <s v="Shadowfax"/>
    <n v="47.82"/>
  </r>
  <r>
    <s v="ZOM-10151"/>
    <d v="2024-10-03T00:00:00"/>
    <d v="1899-12-30T12:00:00"/>
    <x v="10"/>
    <x v="1"/>
    <s v="Biryani"/>
    <n v="28"/>
    <n v="3.2"/>
    <n v="41"/>
    <n v="2159.6"/>
    <n v="120"/>
    <s v="Cash On Delivery"/>
    <s v="Cancelled"/>
    <n v="10"/>
    <s v="Shadowfax"/>
    <n v="0"/>
  </r>
  <r>
    <s v="ZOM-10152"/>
    <d v="2024-09-05T00:00:00"/>
    <d v="1899-12-30T12:00:00"/>
    <x v="6"/>
    <x v="6"/>
    <s v="Italian"/>
    <n v="23"/>
    <n v="0"/>
    <n v="35"/>
    <n v="1793.86"/>
    <n v="0"/>
    <s v="Cash On Delivery"/>
    <s v="Cancelled"/>
    <n v="1"/>
    <s v="In-House"/>
    <n v="0"/>
  </r>
  <r>
    <s v="ZOM-10153"/>
    <d v="2024-05-06T00:00:00"/>
    <d v="1899-12-30T12:00:00"/>
    <x v="5"/>
    <x v="0"/>
    <s v="North Indian"/>
    <n v="29"/>
    <n v="3.8"/>
    <n v="41"/>
    <n v="449.41"/>
    <n v="150"/>
    <s v="Cash On Delivery"/>
    <s v="Cancelled"/>
    <n v="5"/>
    <s v="Rapido"/>
    <n v="-59.09"/>
  </r>
  <r>
    <s v="ZOM-10154"/>
    <d v="2024-02-01T00:00:00"/>
    <d v="1899-12-30T04:02:00"/>
    <x v="11"/>
    <x v="9"/>
    <s v="Italian"/>
    <n v="35"/>
    <n v="1.6"/>
    <n v="28"/>
    <n v="1359.24"/>
    <n v="0.6"/>
    <s v="Credit Card"/>
    <s v="Delivered"/>
    <n v="4"/>
    <s v="Rapido"/>
    <n v="33.119999999999997"/>
  </r>
  <r>
    <s v="ZOM-10155"/>
    <d v="2024-06-27T00:00:00"/>
    <d v="1899-12-30T12:00:00"/>
    <x v="8"/>
    <x v="5"/>
    <s v="North Indian"/>
    <n v="28"/>
    <n v="2.1"/>
    <n v="34"/>
    <n v="503.79"/>
    <n v="120"/>
    <s v="Credit Card"/>
    <s v="Delivered"/>
    <n v="8"/>
    <s v="Rapido"/>
    <n v="0"/>
  </r>
  <r>
    <s v="ZOM-10156"/>
    <d v="2024-04-27T00:00:00"/>
    <d v="1899-12-30T12:00:00"/>
    <x v="2"/>
    <x v="5"/>
    <s v="Fast Food"/>
    <n v="25"/>
    <n v="4.5999999999999996"/>
    <n v="50"/>
    <n v="0"/>
    <n v="50"/>
    <s v="Cash On Delivery"/>
    <s v="Cancelled"/>
    <n v="5"/>
    <s v="Unknown"/>
    <n v="97.68"/>
  </r>
  <r>
    <s v="ZOM-10157"/>
    <d v="2024-05-11T00:00:00"/>
    <d v="1899-12-30T12:00:00"/>
    <x v="7"/>
    <x v="7"/>
    <s v="Not Known"/>
    <n v="37"/>
    <n v="4.5"/>
    <n v="61"/>
    <n v="2232.98"/>
    <n v="100"/>
    <s v="Debit Card"/>
    <s v="Delivered"/>
    <n v="4"/>
    <s v="Dunzo"/>
    <n v="245.59"/>
  </r>
  <r>
    <s v="ZOM-10159"/>
    <d v="2024-03-07T00:00:00"/>
    <d v="1899-12-30T09:26:00"/>
    <x v="19"/>
    <x v="5"/>
    <s v="Desserts"/>
    <n v="41"/>
    <n v="4.5999999999999996"/>
    <n v="52"/>
    <n v="814.16"/>
    <n v="0"/>
    <s v="Credit Card"/>
    <s v="Cancelled"/>
    <n v="5"/>
    <s v="Dunzo"/>
    <n v="-48.37"/>
  </r>
  <r>
    <s v="ZOM-133"/>
    <d v="2024-03-13T00:00:00"/>
    <d v="1899-12-30T12:43:00"/>
    <x v="6"/>
    <x v="6"/>
    <s v="Street Food"/>
    <n v="44"/>
    <n v="1.3"/>
    <n v="17"/>
    <n v="1261.25"/>
    <n v="0.5"/>
    <s v="Net Banking"/>
    <s v="Unknown"/>
    <n v="4"/>
    <s v="Shadowfax"/>
    <n v="-5.23"/>
  </r>
  <r>
    <s v="ZOM-10161"/>
    <d v="2024-06-25T00:00:00"/>
    <d v="1899-12-30T12:00:00"/>
    <x v="8"/>
    <x v="8"/>
    <s v="North Indian"/>
    <n v="56"/>
    <n v="4.5999999999999996"/>
    <n v="37"/>
    <n v="189.64"/>
    <n v="75"/>
    <s v="Net Banking"/>
    <s v="Delivered"/>
    <n v="10"/>
    <s v="Zomato Valet"/>
    <n v="238.21"/>
  </r>
  <r>
    <s v="ZOM-146"/>
    <d v="2024-01-26T00:00:00"/>
    <d v="1899-12-30T12:00:00"/>
    <x v="2"/>
    <x v="9"/>
    <s v="Chinese"/>
    <n v="47"/>
    <n v="1.5"/>
    <n v="51"/>
    <n v="1445.97"/>
    <n v="0.1"/>
    <s v="Cash On Delivery"/>
    <s v="Delivered"/>
    <n v="7"/>
    <s v="Shadowfax"/>
    <n v="184.8"/>
  </r>
  <r>
    <s v="ZOM-143"/>
    <d v="2024-05-05T00:00:00"/>
    <d v="1899-12-30T12:00:00"/>
    <x v="8"/>
    <x v="10"/>
    <s v="Fast Food"/>
    <n v="43"/>
    <n v="4.4000000000000004"/>
    <n v="50"/>
    <n v="1940.26"/>
    <n v="150"/>
    <s v="Cash On Delivery"/>
    <s v="Delivered"/>
    <n v="2"/>
    <s v="Dunzo"/>
    <n v="0"/>
  </r>
  <r>
    <s v="ZOM-10165"/>
    <d v="2024-05-05T00:00:00"/>
    <d v="1899-12-30T12:00:00"/>
    <x v="3"/>
    <x v="7"/>
    <s v="Desserts"/>
    <n v="26"/>
    <n v="2.4"/>
    <n v="18"/>
    <n v="1941.16"/>
    <n v="0.5"/>
    <s v="Debit Card"/>
    <s v="Cancelled"/>
    <n v="2"/>
    <s v="Dunzo"/>
    <n v="0"/>
  </r>
  <r>
    <s v="ZOM-10166"/>
    <d v="2024-05-11T00:00:00"/>
    <d v="1899-12-30T12:00:00"/>
    <x v="2"/>
    <x v="10"/>
    <s v="South Indian"/>
    <n v="60"/>
    <n v="3.5"/>
    <n v="70"/>
    <n v="600.19000000000005"/>
    <n v="0"/>
    <s v="Net Banking"/>
    <s v="Delivered"/>
    <n v="2"/>
    <s v="In-House"/>
    <n v="31.16"/>
  </r>
  <r>
    <s v="ZOM-10167"/>
    <d v="2024-02-23T00:00:00"/>
    <d v="1899-12-30T11:51:00"/>
    <x v="11"/>
    <x v="3"/>
    <s v="Mughlai"/>
    <n v="51"/>
    <n v="3.3"/>
    <n v="67"/>
    <n v="1886.46"/>
    <n v="120"/>
    <s v="Net Banking"/>
    <s v="Delivered"/>
    <n v="3"/>
    <s v="In-House"/>
    <n v="63.68"/>
  </r>
  <r>
    <s v="ZOM-10168"/>
    <d v="2024-02-22T00:00:00"/>
    <d v="1899-12-30T12:00:00"/>
    <x v="1"/>
    <x v="9"/>
    <s v="Biryani"/>
    <n v="20"/>
    <n v="2.1"/>
    <n v="0"/>
    <n v="1999.41"/>
    <n v="150"/>
    <s v="Upi"/>
    <s v="Delivered"/>
    <n v="7"/>
    <s v="Dunzo"/>
    <n v="50.98"/>
  </r>
  <r>
    <s v="ZOM-10169"/>
    <d v="2024-05-26T00:00:00"/>
    <d v="1899-12-30T12:00:00"/>
    <x v="3"/>
    <x v="1"/>
    <s v="Desserts"/>
    <n v="33"/>
    <n v="1.9"/>
    <n v="28"/>
    <n v="2428.42"/>
    <n v="0.6"/>
    <s v="Upi"/>
    <s v="Refunded"/>
    <n v="5"/>
    <s v="Shadowfax"/>
    <n v="0"/>
  </r>
  <r>
    <s v="ZOM-10170"/>
    <d v="2024-07-08T00:00:00"/>
    <d v="1899-12-30T10:36:00"/>
    <x v="10"/>
    <x v="5"/>
    <s v="South Indian"/>
    <n v="0"/>
    <n v="4.7"/>
    <n v="53"/>
    <n v="334.8"/>
    <n v="0.15"/>
    <s v="Credit Card"/>
    <s v="Delivered"/>
    <n v="8"/>
    <s v="Grab"/>
    <n v="29.8"/>
  </r>
  <r>
    <s v="ZOM-10171"/>
    <d v="2024-11-02T00:00:00"/>
    <d v="1899-12-30T12:00:00"/>
    <x v="7"/>
    <x v="0"/>
    <s v="Mughlai"/>
    <n v="38"/>
    <n v="1.4"/>
    <n v="60"/>
    <n v="2427.8000000000002"/>
    <n v="120"/>
    <s v="Wallet"/>
    <s v="Cancelled"/>
    <n v="5"/>
    <s v="Shadowfax"/>
    <n v="49.85"/>
  </r>
  <r>
    <s v="ZOM-10172"/>
    <d v="2024-01-06T00:00:00"/>
    <d v="1899-12-30T12:00:00"/>
    <x v="11"/>
    <x v="5"/>
    <s v="Italian"/>
    <n v="54"/>
    <n v="3.9"/>
    <n v="73"/>
    <n v="2088.87"/>
    <n v="0.15"/>
    <s v="Credit Card"/>
    <s v="Delivered"/>
    <n v="4"/>
    <s v="Dunzo"/>
    <n v="-20.48"/>
  </r>
  <r>
    <s v="Unkown"/>
    <d v="2024-03-08T00:00:00"/>
    <d v="1899-12-30T08:02:00"/>
    <x v="20"/>
    <x v="4"/>
    <s v="Chinese"/>
    <n v="24"/>
    <n v="1.2"/>
    <n v="75"/>
    <n v="2281.58"/>
    <n v="120"/>
    <s v="Wallet"/>
    <s v="Refunded"/>
    <n v="6"/>
    <s v="Shadowfax"/>
    <n v="111.56"/>
  </r>
  <r>
    <s v="ZOM-10174"/>
    <d v="2024-04-29T00:00:00"/>
    <d v="1899-12-30T12:00:00"/>
    <x v="2"/>
    <x v="4"/>
    <s v="Desserts"/>
    <n v="34"/>
    <n v="2.7"/>
    <n v="62"/>
    <n v="2487.06"/>
    <n v="0.5"/>
    <s v="Upi"/>
    <s v="Delivered"/>
    <n v="8"/>
    <s v="Zomato Valet"/>
    <n v="105.08"/>
  </r>
  <r>
    <s v="ZOM-10175"/>
    <d v="2024-07-02T00:00:00"/>
    <d v="1899-12-30T12:00:00"/>
    <x v="5"/>
    <x v="5"/>
    <s v="North Indian"/>
    <n v="49"/>
    <n v="4.5"/>
    <n v="0"/>
    <n v="1741.52"/>
    <n v="0.6"/>
    <s v="Upi"/>
    <s v="Delivered"/>
    <n v="1"/>
    <s v="Dunzo"/>
    <n v="233.8"/>
  </r>
  <r>
    <s v="ZOM-10176"/>
    <d v="2024-05-25T00:00:00"/>
    <d v="1899-12-30T12:00:00"/>
    <x v="10"/>
    <x v="8"/>
    <s v="Fast Food"/>
    <n v="0"/>
    <n v="2.6"/>
    <n v="34"/>
    <n v="407.03"/>
    <n v="75"/>
    <s v="Wallet"/>
    <s v="Refunded"/>
    <n v="8"/>
    <s v="Dunzo"/>
    <n v="169.64"/>
  </r>
  <r>
    <s v="ZOM-10177"/>
    <d v="2024-04-19T00:00:00"/>
    <d v="1899-12-30T12:00:00"/>
    <x v="7"/>
    <x v="1"/>
    <s v="Mughlai"/>
    <n v="26"/>
    <n v="2.2000000000000002"/>
    <n v="42"/>
    <n v="823.25"/>
    <n v="0"/>
    <s v="Upi"/>
    <s v="Delivered"/>
    <n v="5"/>
    <s v="Rapido"/>
    <n v="-42.4"/>
  </r>
  <r>
    <s v="ZOM-10178"/>
    <d v="2024-04-10T00:00:00"/>
    <d v="1899-12-30T12:00:00"/>
    <x v="2"/>
    <x v="10"/>
    <s v="Fast Food, Bakery"/>
    <n v="61"/>
    <n v="3.1"/>
    <n v="0"/>
    <n v="397.69"/>
    <n v="150"/>
    <s v="Cash On Delivery"/>
    <s v="Delivered"/>
    <n v="7"/>
    <s v="Dunzo"/>
    <n v="-17.04"/>
  </r>
  <r>
    <s v="ZOM-10179"/>
    <d v="2024-07-01T00:00:00"/>
    <d v="1899-12-30T12:00:00"/>
    <x v="13"/>
    <x v="6"/>
    <s v="Not Known"/>
    <n v="27"/>
    <n v="2.8"/>
    <n v="17"/>
    <n v="2166.3200000000002"/>
    <n v="0.6"/>
    <s v="Cash On Delivery"/>
    <s v="Delivered"/>
    <n v="10"/>
    <s v="In-House"/>
    <n v="80.87"/>
  </r>
  <r>
    <s v="ZOM-10180"/>
    <d v="2024-06-22T00:00:00"/>
    <d v="1899-12-30T12:00:00"/>
    <x v="10"/>
    <x v="7"/>
    <s v="Desserts"/>
    <n v="48"/>
    <n v="1.9"/>
    <n v="73"/>
    <n v="1750.24"/>
    <n v="150"/>
    <s v="Wallet"/>
    <s v="Delivered"/>
    <n v="6"/>
    <s v="Grab"/>
    <n v="125.21"/>
  </r>
  <r>
    <s v="ZOM-10181"/>
    <d v="2024-02-03T00:00:00"/>
    <d v="1899-12-30T12:00:00"/>
    <x v="9"/>
    <x v="6"/>
    <s v="North Indian"/>
    <n v="50"/>
    <n v="0"/>
    <n v="42"/>
    <n v="391.25"/>
    <n v="100"/>
    <s v="Debit Card"/>
    <s v="Delivered"/>
    <n v="9"/>
    <s v="Rapido"/>
    <n v="225.79"/>
  </r>
  <r>
    <s v="ZOM-10182"/>
    <d v="2024-01-29T00:00:00"/>
    <d v="1899-12-30T03:36:00"/>
    <x v="9"/>
    <x v="9"/>
    <s v="Desserts"/>
    <n v="64"/>
    <n v="1.6"/>
    <n v="32"/>
    <n v="412.7"/>
    <n v="0"/>
    <s v="Credit Card"/>
    <s v="Cancelled"/>
    <n v="6"/>
    <s v="In-House"/>
    <n v="168.66"/>
  </r>
  <r>
    <s v="ZOM-10183"/>
    <d v="2024-04-15T00:00:00"/>
    <d v="1899-12-30T12:00:00"/>
    <x v="18"/>
    <x v="4"/>
    <s v="South Indian"/>
    <n v="21"/>
    <n v="1.1000000000000001"/>
    <n v="34"/>
    <n v="2267.98"/>
    <n v="150"/>
    <s v="Wallet"/>
    <s v="Delivered"/>
    <n v="6"/>
    <s v="Zomato Valet"/>
    <n v="121.43"/>
  </r>
  <r>
    <s v="ZOM-10184"/>
    <d v="2024-05-19T00:00:00"/>
    <d v="1899-12-30T09:18:00"/>
    <x v="11"/>
    <x v="6"/>
    <s v="Italian"/>
    <n v="36"/>
    <n v="3"/>
    <n v="58"/>
    <n v="1921.77"/>
    <n v="0"/>
    <s v="Net Banking"/>
    <s v="Delivered"/>
    <n v="6"/>
    <s v="Dunzo"/>
    <n v="-64.25"/>
  </r>
  <r>
    <s v="ZOM-10185"/>
    <d v="2024-07-07T00:00:00"/>
    <d v="1899-12-30T12:00:00"/>
    <x v="5"/>
    <x v="8"/>
    <s v="Bakery"/>
    <n v="38"/>
    <n v="1.8"/>
    <n v="73"/>
    <n v="353.21"/>
    <n v="0"/>
    <s v="Upi"/>
    <s v="Delivered"/>
    <n v="9"/>
    <s v="Rapido"/>
    <n v="112.82"/>
  </r>
  <r>
    <s v="ZOM-10186"/>
    <d v="2024-05-05T00:00:00"/>
    <d v="1899-12-30T12:00:00"/>
    <x v="13"/>
    <x v="8"/>
    <s v="Not Known"/>
    <n v="53"/>
    <n v="4.8"/>
    <n v="67"/>
    <n v="382.6"/>
    <n v="0.6"/>
    <s v="Credit Card"/>
    <s v="Refunded"/>
    <n v="10"/>
    <s v="Unknown"/>
    <n v="215.1"/>
  </r>
  <r>
    <s v="ZOM-10187"/>
    <d v="2024-05-05T00:00:00"/>
    <d v="1899-12-30T12:00:00"/>
    <x v="7"/>
    <x v="5"/>
    <s v="Mughlai"/>
    <n v="58"/>
    <n v="2.8"/>
    <n v="56"/>
    <n v="332.57"/>
    <n v="100"/>
    <s v="Credit Card"/>
    <s v="Delivered"/>
    <n v="1"/>
    <s v="Rapido"/>
    <n v="21.92"/>
  </r>
  <r>
    <s v="ZOM-10188"/>
    <d v="2024-07-06T00:00:00"/>
    <d v="1899-12-30T12:00:00"/>
    <x v="10"/>
    <x v="0"/>
    <s v="North Indian"/>
    <n v="55"/>
    <n v="4.2"/>
    <n v="66"/>
    <n v="1521.57"/>
    <n v="75"/>
    <s v="Cash On Delivery"/>
    <s v="Delivered"/>
    <n v="2"/>
    <s v="Rapido"/>
    <n v="4.33"/>
  </r>
  <r>
    <s v="ZOM-10189"/>
    <d v="2024-02-13T00:00:00"/>
    <d v="1899-12-30T02:00:00"/>
    <x v="7"/>
    <x v="4"/>
    <s v="South Indian"/>
    <n v="50"/>
    <n v="2.5"/>
    <n v="18"/>
    <n v="877.64"/>
    <n v="0"/>
    <s v="Upi"/>
    <s v="Refunded"/>
    <n v="9"/>
    <s v="In-House"/>
    <n v="54.23"/>
  </r>
  <r>
    <s v="ZOM-10190"/>
    <d v="2024-06-02T00:00:00"/>
    <d v="1899-12-30T12:00:00"/>
    <x v="13"/>
    <x v="1"/>
    <s v="Bakery"/>
    <n v="48"/>
    <n v="2"/>
    <n v="59"/>
    <n v="2125"/>
    <n v="75"/>
    <s v="Upi"/>
    <s v="Delivered"/>
    <n v="9"/>
    <s v="Dunzo"/>
    <n v="86.59"/>
  </r>
  <r>
    <s v="ZOM-10191"/>
    <d v="2024-06-11T00:00:00"/>
    <d v="1899-12-30T12:00:00"/>
    <x v="2"/>
    <x v="1"/>
    <s v="Fast Food, Mughlai"/>
    <n v="0"/>
    <n v="0"/>
    <n v="50"/>
    <n v="2250.7399999999998"/>
    <n v="120"/>
    <s v="Upi"/>
    <s v="Delivered"/>
    <n v="2"/>
    <s v="Dunzo"/>
    <n v="118.43"/>
  </r>
  <r>
    <s v="ZOM-10192"/>
    <d v="2024-03-01T00:00:00"/>
    <d v="1899-12-30T12:00:00"/>
    <x v="17"/>
    <x v="5"/>
    <s v="Bakery"/>
    <n v="41"/>
    <n v="0"/>
    <n v="41"/>
    <n v="136.97999999999999"/>
    <n v="0"/>
    <s v="Debit Card"/>
    <s v="Delivered"/>
    <n v="10"/>
    <s v="Shadowfax"/>
    <n v="228.08"/>
  </r>
  <r>
    <s v="ZOM-10193"/>
    <d v="2024-03-11T00:00:00"/>
    <d v="1899-12-30T12:00:00"/>
    <x v="10"/>
    <x v="8"/>
    <s v="Italian"/>
    <n v="45"/>
    <n v="2.6"/>
    <n v="48"/>
    <n v="1230.48"/>
    <n v="150"/>
    <s v="Credit Card"/>
    <s v="Unknown"/>
    <n v="2"/>
    <s v="Rapido"/>
    <n v="-5.54"/>
  </r>
  <r>
    <s v="ZOM-10195"/>
    <d v="2024-04-07T00:00:00"/>
    <d v="1899-12-30T12:00:00"/>
    <x v="6"/>
    <x v="7"/>
    <s v="South Indian"/>
    <n v="39"/>
    <n v="1.4"/>
    <n v="0"/>
    <n v="1817.65"/>
    <n v="120"/>
    <s v="Credit Card"/>
    <s v="Delivered"/>
    <n v="1"/>
    <s v="Shadowfax"/>
    <n v="236.71"/>
  </r>
  <r>
    <s v="ZOM-10196"/>
    <d v="2024-07-17T00:00:00"/>
    <d v="1899-12-30T12:00:00"/>
    <x v="1"/>
    <x v="4"/>
    <s v="North Indian"/>
    <n v="22"/>
    <n v="3.7"/>
    <n v="74"/>
    <n v="1547.43"/>
    <n v="75"/>
    <s v="Net Banking"/>
    <s v="Delivered"/>
    <n v="4"/>
    <s v="Grab"/>
    <n v="162.41"/>
  </r>
  <r>
    <s v="ZOM-10197"/>
    <d v="2024-02-22T00:00:00"/>
    <d v="1899-12-30T12:00:00"/>
    <x v="10"/>
    <x v="9"/>
    <s v="Desserts, Chinese"/>
    <n v="32"/>
    <n v="3.9"/>
    <n v="46"/>
    <n v="0"/>
    <n v="0"/>
    <s v="Upi"/>
    <s v="Delivered"/>
    <n v="6"/>
    <s v="Dunzo"/>
    <n v="242.44"/>
  </r>
  <r>
    <s v="ZOM-10198"/>
    <d v="2024-01-17T00:00:00"/>
    <d v="1899-12-30T12:00:00"/>
    <x v="13"/>
    <x v="10"/>
    <s v="Bakery"/>
    <n v="33"/>
    <n v="0"/>
    <n v="31"/>
    <n v="2146.58"/>
    <n v="50"/>
    <s v="Wallet"/>
    <s v="Delivered"/>
    <n v="9"/>
    <s v="Dunzo"/>
    <n v="26.2"/>
  </r>
  <r>
    <s v="ZOM-10199"/>
    <d v="2024-05-06T00:00:00"/>
    <d v="1899-12-30T12:00:00"/>
    <x v="6"/>
    <x v="6"/>
    <s v="Italian"/>
    <n v="53"/>
    <n v="4"/>
    <n v="60"/>
    <n v="667.82"/>
    <n v="75"/>
    <s v="Cash On Delivery"/>
    <s v="Delivered"/>
    <n v="4"/>
    <s v="Dunzo"/>
    <n v="-52.8"/>
  </r>
  <r>
    <s v="ZOM-10200"/>
    <d v="2024-03-11T00:00:00"/>
    <d v="1899-12-30T12:00:00"/>
    <x v="0"/>
    <x v="5"/>
    <s v="Biryani"/>
    <n v="63"/>
    <n v="4.5999999999999996"/>
    <n v="0"/>
    <n v="832.75"/>
    <n v="100"/>
    <s v="Cod"/>
    <s v="Delivered"/>
    <n v="4"/>
    <s v="Shadowfax"/>
    <n v="-2.87"/>
  </r>
  <r>
    <s v="ZOM-10201"/>
    <d v="2024-04-28T00:00:00"/>
    <d v="1899-12-30T11:37:00"/>
    <x v="7"/>
    <x v="1"/>
    <s v="Bakery"/>
    <n v="60"/>
    <n v="2.4"/>
    <n v="66"/>
    <n v="1935.56"/>
    <n v="0.6"/>
    <s v="Upi"/>
    <s v="Cancelled"/>
    <n v="10"/>
    <s v="Rapido"/>
    <n v="45.84"/>
  </r>
  <r>
    <s v="ZOM-10202"/>
    <d v="2024-01-05T00:00:00"/>
    <d v="1899-12-30T12:00:00"/>
    <x v="8"/>
    <x v="11"/>
    <s v="Bakery"/>
    <n v="36"/>
    <n v="2.2000000000000002"/>
    <n v="73"/>
    <n v="256.74"/>
    <n v="0.5"/>
    <s v="Cash On Delivery"/>
    <s v="Delivered"/>
    <n v="4"/>
    <s v="Shadowfax"/>
    <n v="189.91"/>
  </r>
  <r>
    <s v="ZOM-10203"/>
    <d v="2024-03-20T00:00:00"/>
    <d v="1899-12-30T12:00:00"/>
    <x v="21"/>
    <x v="4"/>
    <s v="Chinese"/>
    <n v="54"/>
    <n v="0"/>
    <n v="56"/>
    <n v="2216.77"/>
    <n v="150"/>
    <s v="Debit Card"/>
    <s v="Delivered"/>
    <n v="8"/>
    <s v="Grab"/>
    <n v="107.64"/>
  </r>
  <r>
    <s v="ZOM-10204"/>
    <d v="2024-02-10T00:00:00"/>
    <d v="1899-12-30T12:00:00"/>
    <x v="3"/>
    <x v="6"/>
    <s v="South Indian, South Indian"/>
    <n v="38"/>
    <n v="1.7"/>
    <n v="17"/>
    <n v="1219.96"/>
    <n v="150"/>
    <s v="Cash On Delivery"/>
    <s v="Delivered"/>
    <n v="3"/>
    <s v="Dunzo"/>
    <n v="72.25"/>
  </r>
  <r>
    <s v="ZOM-10206"/>
    <d v="2024-03-27T00:00:00"/>
    <d v="1899-12-30T06:33:00"/>
    <x v="0"/>
    <x v="4"/>
    <s v="Street Food"/>
    <n v="31"/>
    <n v="2.6"/>
    <n v="44"/>
    <n v="628.79999999999995"/>
    <n v="0.5"/>
    <s v="Wallet"/>
    <s v="Delivered"/>
    <n v="1"/>
    <s v="Zomato Valet"/>
    <n v="173.29"/>
  </r>
  <r>
    <s v="ZOM-10207"/>
    <d v="2024-05-25T00:00:00"/>
    <d v="1899-12-30T12:00:00"/>
    <x v="0"/>
    <x v="4"/>
    <s v="Desserts"/>
    <n v="0"/>
    <n v="2.8"/>
    <n v="44"/>
    <n v="1318.14"/>
    <n v="0"/>
    <s v="Upi"/>
    <s v="Delivered"/>
    <n v="6"/>
    <s v="Grab"/>
    <n v="0"/>
  </r>
  <r>
    <s v="ZOM-10208"/>
    <d v="2024-04-23T00:00:00"/>
    <d v="1899-12-30T12:00:00"/>
    <x v="7"/>
    <x v="5"/>
    <s v="Desserts"/>
    <n v="33"/>
    <n v="3.8"/>
    <n v="70"/>
    <n v="1027.94"/>
    <n v="0"/>
    <s v="Upi"/>
    <s v="Cancelled"/>
    <n v="9"/>
    <s v="Shadowfax"/>
    <n v="159.25"/>
  </r>
  <r>
    <s v="ZOM-10209"/>
    <d v="2024-02-15T00:00:00"/>
    <d v="1899-12-30T12:00:00"/>
    <x v="1"/>
    <x v="1"/>
    <s v="Fast Food"/>
    <n v="27"/>
    <n v="4.2"/>
    <n v="0"/>
    <n v="1027.78"/>
    <n v="75"/>
    <s v="Net Banking"/>
    <s v="Delivered"/>
    <n v="10"/>
    <s v="Grab"/>
    <n v="74.86"/>
  </r>
  <r>
    <s v="ZOM-132"/>
    <d v="2024-05-07T00:00:00"/>
    <d v="1899-12-30T12:00:00"/>
    <x v="6"/>
    <x v="10"/>
    <s v="South Indian"/>
    <n v="34"/>
    <n v="4"/>
    <n v="77"/>
    <n v="1631.25"/>
    <n v="0"/>
    <s v="Cash On Delivery"/>
    <s v="Delivered"/>
    <n v="1"/>
    <s v="In-House"/>
    <n v="119.79"/>
  </r>
  <r>
    <s v="ZOM-10211"/>
    <d v="2024-05-28T00:00:00"/>
    <d v="1899-12-30T12:00:00"/>
    <x v="10"/>
    <x v="7"/>
    <s v="Street Food"/>
    <n v="62"/>
    <n v="4.9000000000000004"/>
    <n v="63"/>
    <n v="1514.87"/>
    <n v="150"/>
    <s v="Upi"/>
    <s v="Cancelled"/>
    <n v="5"/>
    <s v="Zomato Valet"/>
    <n v="-79.48"/>
  </r>
  <r>
    <s v="ZOM-10212"/>
    <d v="2024-06-16T00:00:00"/>
    <d v="1899-12-30T09:50:00"/>
    <x v="13"/>
    <x v="8"/>
    <s v="Fast Food"/>
    <n v="44"/>
    <n v="4.7"/>
    <n v="55"/>
    <n v="515.38"/>
    <n v="0.2"/>
    <s v="Upi"/>
    <s v="Unknown"/>
    <n v="1"/>
    <s v="In-House"/>
    <n v="-48.04"/>
  </r>
  <r>
    <s v="Unkown"/>
    <d v="2024-06-03T00:00:00"/>
    <d v="1899-12-30T12:00:00"/>
    <x v="1"/>
    <x v="3"/>
    <s v="Chinese"/>
    <n v="40"/>
    <n v="4.2"/>
    <n v="0"/>
    <n v="2191.89"/>
    <n v="50"/>
    <s v="Upi"/>
    <s v="Cancelled"/>
    <n v="8"/>
    <s v="Rapido"/>
    <n v="245.44"/>
  </r>
  <r>
    <s v="ZOM-123"/>
    <d v="2024-01-12T00:00:00"/>
    <d v="1899-12-30T11:06:00"/>
    <x v="5"/>
    <x v="7"/>
    <s v="South Indian"/>
    <n v="51"/>
    <n v="4.0999999999999996"/>
    <n v="19"/>
    <n v="424.31"/>
    <n v="0.6"/>
    <s v="Cash On Delivery"/>
    <s v="Delivered"/>
    <n v="2"/>
    <s v="Zomato Valet"/>
    <n v="-27.12"/>
  </r>
  <r>
    <s v="ZOM-10215"/>
    <d v="2024-02-26T00:00:00"/>
    <d v="1899-12-30T08:47:00"/>
    <x v="11"/>
    <x v="9"/>
    <s v="Bakery"/>
    <n v="63"/>
    <n v="3.9"/>
    <n v="70"/>
    <n v="2044.11"/>
    <n v="0.1"/>
    <s v="Upi"/>
    <s v="Delivered"/>
    <n v="7"/>
    <s v="Rapido"/>
    <n v="114.72"/>
  </r>
  <r>
    <s v="ZOM-10216"/>
    <d v="2024-07-16T00:00:00"/>
    <d v="1899-12-30T12:27:00"/>
    <x v="13"/>
    <x v="8"/>
    <s v="Biryani"/>
    <n v="27"/>
    <n v="4.4000000000000004"/>
    <n v="19"/>
    <n v="1545.34"/>
    <n v="0"/>
    <s v="Debit Card"/>
    <s v="Cancelled"/>
    <n v="6"/>
    <s v="Shadowfax"/>
    <n v="161.78"/>
  </r>
  <r>
    <s v="ZOM-10217"/>
    <d v="2024-07-17T00:00:00"/>
    <d v="1899-12-30T12:00:00"/>
    <x v="2"/>
    <x v="0"/>
    <s v="Desserts"/>
    <n v="62"/>
    <n v="3.8"/>
    <n v="27"/>
    <n v="431.54"/>
    <n v="0"/>
    <s v="Wallet"/>
    <s v="Delivered"/>
    <n v="4"/>
    <s v="In-House"/>
    <n v="39.53"/>
  </r>
  <r>
    <s v="ZOM-10218"/>
    <d v="2024-02-07T00:00:00"/>
    <d v="1899-12-30T12:00:00"/>
    <x v="6"/>
    <x v="1"/>
    <s v="Street Food"/>
    <n v="43"/>
    <n v="1.5"/>
    <n v="53"/>
    <n v="1757.4"/>
    <n v="100"/>
    <s v="Wallet"/>
    <s v="Delivered"/>
    <n v="8"/>
    <s v="Unknown"/>
    <n v="-41.51"/>
  </r>
  <r>
    <s v="ZOM-136"/>
    <d v="2024-02-22T00:00:00"/>
    <d v="1899-12-30T12:00:00"/>
    <x v="3"/>
    <x v="5"/>
    <s v="North Indian, Street Food"/>
    <n v="36"/>
    <n v="2.8"/>
    <n v="55"/>
    <n v="1363.95"/>
    <n v="0.6"/>
    <s v="Net Banking"/>
    <s v="Cancelled"/>
    <n v="4"/>
    <s v="Shadowfax"/>
    <n v="38.49"/>
  </r>
  <r>
    <s v="ZOM-10221"/>
    <d v="2024-06-03T00:00:00"/>
    <d v="1899-12-30T12:00:00"/>
    <x v="13"/>
    <x v="7"/>
    <s v="Biryani"/>
    <n v="60"/>
    <n v="3"/>
    <n v="67"/>
    <n v="485.31"/>
    <n v="0"/>
    <s v="Net Banking"/>
    <s v="Delivered"/>
    <n v="6"/>
    <s v="Dunzo"/>
    <n v="10.3"/>
  </r>
  <r>
    <s v="ZOM-10222"/>
    <d v="2024-01-27T00:00:00"/>
    <d v="1899-12-30T12:00:00"/>
    <x v="2"/>
    <x v="3"/>
    <s v="Bakery, Desserts"/>
    <n v="42"/>
    <n v="4.2"/>
    <n v="66"/>
    <n v="1254.93"/>
    <n v="0"/>
    <s v="Net Banking"/>
    <s v="Delivered"/>
    <n v="6"/>
    <s v="In-House"/>
    <n v="58.02"/>
  </r>
  <r>
    <s v="ZOM-10223"/>
    <d v="2024-04-29T00:00:00"/>
    <d v="1899-12-30T12:00:00"/>
    <x v="6"/>
    <x v="9"/>
    <s v="South Indian, Chinese"/>
    <n v="28"/>
    <n v="1.3"/>
    <n v="78"/>
    <n v="0"/>
    <n v="150"/>
    <s v="Net Banking"/>
    <s v="Delivered"/>
    <n v="1"/>
    <s v="In-House"/>
    <n v="33.869999999999997"/>
  </r>
  <r>
    <s v="ZOM-10224"/>
    <d v="2024-05-15T00:00:00"/>
    <d v="1899-12-30T11:20:00"/>
    <x v="9"/>
    <x v="6"/>
    <s v="Desserts"/>
    <n v="25"/>
    <n v="3.7"/>
    <n v="30"/>
    <n v="810.35"/>
    <n v="0.1"/>
    <s v="Wallet"/>
    <s v="Failed"/>
    <n v="8"/>
    <s v="Zomato Valet"/>
    <n v="28.42"/>
  </r>
  <r>
    <s v="Unkown"/>
    <d v="2024-03-07T00:00:00"/>
    <d v="1899-12-30T12:00:00"/>
    <x v="10"/>
    <x v="4"/>
    <s v="Biryani"/>
    <n v="29"/>
    <n v="2.1"/>
    <n v="71"/>
    <n v="505.17"/>
    <n v="75"/>
    <s v="Wallet"/>
    <s v="Delivered"/>
    <n v="0"/>
    <s v="In-House"/>
    <n v="139.53"/>
  </r>
  <r>
    <s v="ZOM-10227"/>
    <d v="2024-02-16T00:00:00"/>
    <d v="1899-12-30T12:00:00"/>
    <x v="9"/>
    <x v="5"/>
    <s v="Bakery"/>
    <n v="62"/>
    <n v="1.9"/>
    <n v="76"/>
    <n v="266.01"/>
    <n v="0"/>
    <s v="Upi"/>
    <s v="Delivered"/>
    <n v="1"/>
    <s v="Zomato Valet"/>
    <n v="14.15"/>
  </r>
  <r>
    <s v="ZOM-10228"/>
    <d v="2024-05-03T00:00:00"/>
    <d v="1899-12-30T12:00:00"/>
    <x v="1"/>
    <x v="4"/>
    <s v="Bakery"/>
    <n v="42"/>
    <n v="1.4"/>
    <n v="30"/>
    <n v="217.67"/>
    <n v="50"/>
    <s v="Credit Card"/>
    <s v="Delivered"/>
    <n v="4"/>
    <s v="Rapido"/>
    <n v="-16.739999999999998"/>
  </r>
  <r>
    <s v="ZOM-10229"/>
    <d v="2024-05-23T00:00:00"/>
    <d v="1899-12-30T12:00:00"/>
    <x v="8"/>
    <x v="8"/>
    <s v="Bakery"/>
    <n v="21"/>
    <n v="3.8"/>
    <n v="65"/>
    <n v="1298.1600000000001"/>
    <n v="0"/>
    <s v="Credit Card"/>
    <s v="Delivered"/>
    <n v="3"/>
    <s v="Rapido"/>
    <n v="210.12"/>
  </r>
  <r>
    <s v="ZOM-10231"/>
    <d v="2024-05-17T00:00:00"/>
    <d v="1899-12-30T12:00:00"/>
    <x v="9"/>
    <x v="10"/>
    <s v="Biryani"/>
    <n v="46"/>
    <n v="3.9"/>
    <n v="76"/>
    <n v="342.98"/>
    <n v="0.15"/>
    <s v="Credit Card"/>
    <s v="Unknown"/>
    <n v="3"/>
    <s v="Grab"/>
    <n v="-32.64"/>
  </r>
  <r>
    <s v="ZOM-10232"/>
    <d v="2024-04-13T00:00:00"/>
    <d v="1899-12-30T03:25:00"/>
    <x v="13"/>
    <x v="0"/>
    <s v="North Indian"/>
    <n v="56"/>
    <n v="0"/>
    <n v="28"/>
    <n v="1410.84"/>
    <n v="0"/>
    <s v="Credit Card"/>
    <s v="Cancelled"/>
    <n v="9"/>
    <s v="In-House"/>
    <n v="0"/>
  </r>
  <r>
    <s v="ZOM-10234"/>
    <d v="2024-07-01T00:00:00"/>
    <d v="1899-12-30T02:36:00"/>
    <x v="13"/>
    <x v="1"/>
    <s v="Biryani"/>
    <n v="40"/>
    <n v="2.7"/>
    <n v="67"/>
    <n v="1552.15"/>
    <n v="0.15"/>
    <s v="Cash On Delivery"/>
    <s v="Delivered"/>
    <n v="7"/>
    <s v="Rapido"/>
    <n v="166.93"/>
  </r>
  <r>
    <s v="ZOM-101"/>
    <d v="2024-02-04T00:00:00"/>
    <d v="1899-12-30T12:00:00"/>
    <x v="13"/>
    <x v="4"/>
    <s v="Italian"/>
    <n v="62"/>
    <n v="2.5"/>
    <n v="0"/>
    <n v="2416.4899999999998"/>
    <n v="150"/>
    <s v="Net Banking"/>
    <s v="Delivered"/>
    <n v="1"/>
    <s v="Rapido"/>
    <n v="172.59"/>
  </r>
  <r>
    <s v="ZOM-10237"/>
    <d v="2024-02-12T00:00:00"/>
    <d v="1899-12-30T12:00:00"/>
    <x v="11"/>
    <x v="11"/>
    <s v="Biryani"/>
    <n v="0"/>
    <n v="1.8"/>
    <n v="74"/>
    <n v="197.03"/>
    <n v="120"/>
    <s v="Upi"/>
    <s v="Refunded"/>
    <n v="5"/>
    <s v="Grab"/>
    <n v="48.91"/>
  </r>
  <r>
    <s v="ZOM-10238"/>
    <d v="2024-03-25T00:00:00"/>
    <d v="1899-12-30T12:00:00"/>
    <x v="3"/>
    <x v="7"/>
    <s v="Fast Food"/>
    <n v="63"/>
    <n v="1.9"/>
    <n v="33"/>
    <n v="1949.81"/>
    <n v="120"/>
    <s v="Wallet"/>
    <s v="Delivered"/>
    <n v="7"/>
    <s v="Zomato Valet"/>
    <n v="47.92"/>
  </r>
  <r>
    <s v="ZOM-10239"/>
    <d v="2024-02-09T00:00:00"/>
    <d v="1899-12-30T07:21:00"/>
    <x v="8"/>
    <x v="5"/>
    <s v="South Indian"/>
    <n v="22"/>
    <n v="2.5"/>
    <n v="26"/>
    <n v="1811.36"/>
    <n v="75"/>
    <s v="Cash On Delivery"/>
    <s v="Delivered"/>
    <n v="7"/>
    <s v="Rapido"/>
    <n v="41.02"/>
  </r>
  <r>
    <s v="ZOM-109"/>
    <d v="2024-04-30T00:00:00"/>
    <d v="1899-12-30T04:58:00"/>
    <x v="7"/>
    <x v="3"/>
    <s v="Chinese"/>
    <n v="58"/>
    <n v="1.6"/>
    <n v="25"/>
    <n v="830.04"/>
    <n v="120"/>
    <s v="Credit Card"/>
    <s v="Delivered"/>
    <n v="5"/>
    <s v="Shadowfax"/>
    <n v="78.94"/>
  </r>
  <r>
    <s v="ZOM-10242"/>
    <d v="2024-04-21T00:00:00"/>
    <d v="1899-12-30T12:00:00"/>
    <x v="9"/>
    <x v="10"/>
    <s v="Fast Food"/>
    <n v="65"/>
    <n v="1.1000000000000001"/>
    <n v="33"/>
    <n v="1308.68"/>
    <n v="150"/>
    <s v="Cash On Delivery"/>
    <s v="Cancelled"/>
    <n v="1"/>
    <s v="Shadowfax"/>
    <n v="149.83000000000001"/>
  </r>
  <r>
    <s v="ZOM-10243"/>
    <d v="2024-02-23T00:00:00"/>
    <d v="1899-12-30T12:00:00"/>
    <x v="9"/>
    <x v="5"/>
    <s v="Mughlai"/>
    <n v="39"/>
    <n v="1.7"/>
    <n v="37"/>
    <n v="1435.55"/>
    <n v="75"/>
    <s v="Wallet"/>
    <s v="Delivered"/>
    <n v="2"/>
    <s v="Zomato Valet"/>
    <n v="227.72"/>
  </r>
  <r>
    <s v="ZOM-10244"/>
    <d v="2024-05-19T00:00:00"/>
    <d v="1899-12-30T03:24:00"/>
    <x v="3"/>
    <x v="7"/>
    <s v="South Indian"/>
    <n v="47"/>
    <n v="4.3"/>
    <n v="65"/>
    <n v="138.1"/>
    <n v="0.2"/>
    <s v="Debit Card"/>
    <s v="Failed"/>
    <n v="0"/>
    <s v="Zomato Valet"/>
    <n v="189.51"/>
  </r>
  <r>
    <s v="ZOM-10245"/>
    <d v="2024-05-26T00:00:00"/>
    <d v="1899-12-30T12:00:00"/>
    <x v="6"/>
    <x v="10"/>
    <s v="Fast Food"/>
    <n v="63"/>
    <n v="3"/>
    <n v="65"/>
    <n v="2126.41"/>
    <n v="0.6"/>
    <s v="Credit Card"/>
    <s v="Unknown"/>
    <n v="3"/>
    <s v="Zomato Valet"/>
    <n v="240.89"/>
  </r>
  <r>
    <s v="Unkown"/>
    <d v="2024-07-06T00:00:00"/>
    <d v="1899-12-30T12:00:00"/>
    <x v="11"/>
    <x v="5"/>
    <s v="Italian"/>
    <n v="58"/>
    <n v="0"/>
    <n v="28"/>
    <n v="384.02"/>
    <n v="0.15"/>
    <s v="Debit Card"/>
    <s v="Refunded"/>
    <n v="1"/>
    <s v="Grab"/>
    <n v="-54.82"/>
  </r>
  <r>
    <s v="ZOM-10247"/>
    <d v="2024-04-25T00:00:00"/>
    <d v="1899-12-30T12:00:00"/>
    <x v="10"/>
    <x v="9"/>
    <s v="Bakery, Street Food"/>
    <n v="25"/>
    <n v="1.1000000000000001"/>
    <n v="0"/>
    <n v="1337.95"/>
    <n v="0"/>
    <s v="Unknown"/>
    <s v="Cancelled"/>
    <n v="5"/>
    <s v="Dunzo"/>
    <n v="35.020000000000003"/>
  </r>
  <r>
    <s v="ZOM-10248"/>
    <d v="2024-06-05T00:00:00"/>
    <d v="1899-12-30T12:00:00"/>
    <x v="6"/>
    <x v="5"/>
    <s v="Bakery"/>
    <n v="46"/>
    <n v="4"/>
    <n v="28"/>
    <n v="1565.36"/>
    <n v="75"/>
    <s v="Wallet"/>
    <s v="Delivered"/>
    <n v="9"/>
    <s v="Dunzo"/>
    <n v="186.98"/>
  </r>
  <r>
    <s v="ZOM-10250"/>
    <d v="2024-05-27T00:00:00"/>
    <d v="1899-12-30T12:00:00"/>
    <x v="22"/>
    <x v="8"/>
    <s v="North Indian, Italian"/>
    <n v="35"/>
    <n v="2.4"/>
    <n v="64"/>
    <n v="865.36"/>
    <n v="0.5"/>
    <s v="Cash On Delivery"/>
    <s v="Refunded"/>
    <n v="1"/>
    <s v="Shadowfax"/>
    <n v="146.91"/>
  </r>
  <r>
    <s v="ZOM-10251"/>
    <d v="2024-04-04T00:00:00"/>
    <d v="1899-12-30T12:00:00"/>
    <x v="2"/>
    <x v="5"/>
    <s v="Italian"/>
    <n v="26"/>
    <n v="1.6"/>
    <n v="67"/>
    <n v="1635.83"/>
    <n v="50"/>
    <s v="Net Banking"/>
    <s v="Delivered"/>
    <n v="2"/>
    <s v="Dunzo"/>
    <n v="137.63"/>
  </r>
  <r>
    <s v="ZOM-10252"/>
    <d v="2024-05-06T00:00:00"/>
    <d v="1899-12-30T12:00:00"/>
    <x v="11"/>
    <x v="6"/>
    <s v="Desserts"/>
    <n v="50"/>
    <n v="1.5"/>
    <n v="64"/>
    <n v="2440.65"/>
    <n v="100"/>
    <s v="Credit Card"/>
    <s v="Delivered"/>
    <n v="2"/>
    <s v="Unknown"/>
    <n v="72.08"/>
  </r>
  <r>
    <s v="ZOM-10253"/>
    <d v="2024-03-31T00:00:00"/>
    <d v="1899-12-30T12:00:00"/>
    <x v="3"/>
    <x v="8"/>
    <s v="North Indian"/>
    <n v="43"/>
    <n v="2.1"/>
    <n v="70"/>
    <n v="379.86"/>
    <n v="0.1"/>
    <s v="Credit Card"/>
    <s v="Cancelled"/>
    <n v="10"/>
    <s v="In-House"/>
    <n v="-46.57"/>
  </r>
  <r>
    <s v="ZOM-10254"/>
    <d v="2024-02-22T00:00:00"/>
    <d v="1899-12-30T05:50:00"/>
    <x v="7"/>
    <x v="4"/>
    <s v="Biryani"/>
    <n v="28"/>
    <n v="4.5999999999999996"/>
    <n v="15"/>
    <n v="1705.15"/>
    <n v="0"/>
    <s v="Debit Card"/>
    <s v="Delivered"/>
    <n v="8"/>
    <s v="Shadowfax"/>
    <n v="-74.260000000000005"/>
  </r>
  <r>
    <s v="ZOM-10255"/>
    <d v="2024-05-08T00:00:00"/>
    <d v="1899-12-30T05:42:00"/>
    <x v="0"/>
    <x v="3"/>
    <s v="Desserts"/>
    <n v="51"/>
    <n v="4.4000000000000004"/>
    <n v="76"/>
    <n v="388.37"/>
    <n v="0"/>
    <s v="Credit Card"/>
    <s v="Failed"/>
    <n v="2"/>
    <s v="Shadowfax"/>
    <n v="-44.38"/>
  </r>
  <r>
    <s v="ZOM-10256"/>
    <d v="2024-04-25T00:00:00"/>
    <d v="1899-12-30T12:00:00"/>
    <x v="11"/>
    <x v="5"/>
    <s v="Street Food"/>
    <n v="54"/>
    <n v="4.2"/>
    <n v="16"/>
    <n v="1307.45"/>
    <n v="50"/>
    <s v="Net Banking"/>
    <s v="Refunded"/>
    <n v="8"/>
    <s v="Zomato Valet"/>
    <n v="-39.270000000000003"/>
  </r>
  <r>
    <s v="Unkown"/>
    <d v="2024-03-31T00:00:00"/>
    <d v="1899-12-30T12:00:00"/>
    <x v="10"/>
    <x v="8"/>
    <s v="Chinese"/>
    <n v="0"/>
    <n v="2"/>
    <n v="64"/>
    <n v="1125.7"/>
    <n v="0"/>
    <s v="Debit Card"/>
    <s v="Delivered"/>
    <n v="4"/>
    <s v="Dunzo"/>
    <n v="19.350000000000001"/>
  </r>
  <r>
    <s v="ZOM-10259"/>
    <d v="2024-05-03T00:00:00"/>
    <d v="1899-12-30T12:00:00"/>
    <x v="0"/>
    <x v="6"/>
    <s v="Fast Food"/>
    <n v="37"/>
    <n v="4.7"/>
    <n v="40"/>
    <n v="0"/>
    <n v="0"/>
    <s v="Net Banking"/>
    <s v="Delivered"/>
    <n v="7"/>
    <s v="Grab"/>
    <n v="197.77"/>
  </r>
  <r>
    <s v="ZOM-10260"/>
    <d v="2024-06-17T00:00:00"/>
    <d v="1899-12-30T12:00:00"/>
    <x v="13"/>
    <x v="4"/>
    <s v="Mughlai"/>
    <n v="60"/>
    <n v="2.5"/>
    <n v="74"/>
    <n v="1112.21"/>
    <n v="0"/>
    <s v="Cash On Delivery"/>
    <s v="Delivered"/>
    <n v="1"/>
    <s v="Dunzo"/>
    <n v="158.61000000000001"/>
  </r>
  <r>
    <s v="ZOM-10261"/>
    <d v="2024-08-05T00:00:00"/>
    <d v="1899-12-30T12:00:00"/>
    <x v="2"/>
    <x v="10"/>
    <s v="Biryani"/>
    <n v="59"/>
    <n v="4.9000000000000004"/>
    <n v="38"/>
    <n v="1490.97"/>
    <n v="120"/>
    <s v="Debit Card"/>
    <s v="Refunded"/>
    <n v="1"/>
    <s v="In-House"/>
    <n v="-44.95"/>
  </r>
  <r>
    <s v="ZOM-10262"/>
    <d v="2024-07-16T00:00:00"/>
    <d v="1899-12-30T12:00:00"/>
    <x v="13"/>
    <x v="0"/>
    <s v="South Indian"/>
    <n v="0"/>
    <n v="1.4"/>
    <n v="32"/>
    <n v="2473.5100000000002"/>
    <n v="0.2"/>
    <s v="Cash On Delivery"/>
    <s v="Cancelled"/>
    <n v="2"/>
    <s v="Unknown"/>
    <n v="236.74"/>
  </r>
  <r>
    <s v="ZOM-10263"/>
    <d v="2024-01-02T00:00:00"/>
    <d v="1899-12-30T12:16:00"/>
    <x v="9"/>
    <x v="8"/>
    <s v="Mughlai"/>
    <n v="22"/>
    <n v="3.5"/>
    <n v="25"/>
    <n v="422.72"/>
    <n v="0.5"/>
    <s v="Credit Card"/>
    <s v="Refunded"/>
    <n v="2"/>
    <s v="Shadowfax"/>
    <n v="109.87"/>
  </r>
  <r>
    <s v="ZOM-10264"/>
    <d v="2024-04-12T00:00:00"/>
    <d v="1899-12-30T12:00:00"/>
    <x v="2"/>
    <x v="11"/>
    <s v="Italian"/>
    <n v="53"/>
    <n v="2.2999999999999998"/>
    <n v="22"/>
    <n v="680.77"/>
    <n v="120"/>
    <s v="Wallet"/>
    <s v="Delivered"/>
    <n v="2"/>
    <s v="Rapido"/>
    <n v="158.69999999999999"/>
  </r>
  <r>
    <s v="ZOM-10266"/>
    <d v="2024-01-12T00:00:00"/>
    <d v="1899-12-30T12:00:00"/>
    <x v="5"/>
    <x v="4"/>
    <s v="Chinese"/>
    <n v="60"/>
    <n v="2"/>
    <n v="78"/>
    <n v="1798.51"/>
    <n v="50"/>
    <s v="Cash On Delivery"/>
    <s v="Refunded"/>
    <n v="6"/>
    <s v="In-House"/>
    <n v="34.39"/>
  </r>
  <r>
    <s v="ZOM-10267"/>
    <d v="2024-01-21T00:00:00"/>
    <d v="1899-12-30T12:00:00"/>
    <x v="3"/>
    <x v="11"/>
    <s v="Chinese"/>
    <n v="49"/>
    <n v="2.1"/>
    <n v="53"/>
    <n v="2088.69"/>
    <n v="0.6"/>
    <s v="Cash On Delivery"/>
    <s v="Delivered"/>
    <n v="9"/>
    <s v="Zomato Valet"/>
    <n v="171.79"/>
  </r>
  <r>
    <s v="ZOM-10268"/>
    <d v="2024-03-27T00:00:00"/>
    <d v="1899-12-30T12:00:00"/>
    <x v="9"/>
    <x v="10"/>
    <s v="North Indian"/>
    <n v="36"/>
    <n v="4.8"/>
    <n v="48"/>
    <n v="506.87"/>
    <n v="50"/>
    <s v="Credit Card"/>
    <s v="Refunded"/>
    <n v="6"/>
    <s v="Rapido"/>
    <n v="39.36"/>
  </r>
  <r>
    <s v="ZOM-10269"/>
    <d v="2024-06-04T00:00:00"/>
    <d v="1899-12-30T12:00:00"/>
    <x v="9"/>
    <x v="0"/>
    <s v="Mughlai"/>
    <n v="23"/>
    <n v="3.4"/>
    <n v="23"/>
    <n v="1168.25"/>
    <n v="75"/>
    <s v="Cash On Delivery"/>
    <s v="Delivered"/>
    <n v="3"/>
    <s v="In-House"/>
    <n v="24.72"/>
  </r>
  <r>
    <s v="ZOM-10271"/>
    <d v="2024-07-01T00:00:00"/>
    <d v="1899-12-30T12:00:00"/>
    <x v="6"/>
    <x v="7"/>
    <s v="Chinese"/>
    <n v="52"/>
    <n v="4.4000000000000004"/>
    <n v="21"/>
    <n v="1564.9"/>
    <n v="75"/>
    <s v="Debit Card"/>
    <s v="Refunded"/>
    <n v="8"/>
    <s v="Dunzo"/>
    <n v="-0.45"/>
  </r>
  <r>
    <s v="ZOM-10273"/>
    <d v="2024-05-11T00:00:00"/>
    <d v="1899-12-30T12:00:00"/>
    <x v="6"/>
    <x v="9"/>
    <s v="Bakery"/>
    <n v="40"/>
    <n v="4.5999999999999996"/>
    <n v="70"/>
    <n v="808.51"/>
    <n v="0.15"/>
    <s v="Wallet"/>
    <s v="Pending"/>
    <n v="8"/>
    <s v="Grab"/>
    <n v="158.44"/>
  </r>
  <r>
    <s v="ZOM-10274"/>
    <d v="2024-05-06T00:00:00"/>
    <d v="1899-12-30T12:00:00"/>
    <x v="3"/>
    <x v="3"/>
    <s v="North Indian"/>
    <n v="51"/>
    <n v="4.5"/>
    <n v="59"/>
    <n v="797.8"/>
    <n v="0.5"/>
    <s v="Credit Card"/>
    <s v="Delivered"/>
    <n v="3"/>
    <s v="Zomato Valet"/>
    <n v="0"/>
  </r>
  <r>
    <s v="ZOM-10275"/>
    <d v="2024-05-18T00:00:00"/>
    <d v="1899-12-30T06:21:00"/>
    <x v="10"/>
    <x v="10"/>
    <s v="Mughlai"/>
    <n v="46"/>
    <n v="3"/>
    <n v="23"/>
    <n v="2483.52"/>
    <n v="0.2"/>
    <s v="Upi"/>
    <s v="Cancelled"/>
    <n v="9"/>
    <s v="In-House"/>
    <n v="23.89"/>
  </r>
  <r>
    <s v="ZOM-10276"/>
    <d v="2024-05-13T00:00:00"/>
    <d v="1899-12-30T12:00:00"/>
    <x v="18"/>
    <x v="0"/>
    <s v="Chinese"/>
    <n v="64"/>
    <n v="1.5"/>
    <n v="26"/>
    <n v="2382.98"/>
    <n v="0"/>
    <s v="Cash On Delivery"/>
    <s v="Cancelled"/>
    <n v="10"/>
    <s v="Shadowfax"/>
    <n v="136.79"/>
  </r>
  <r>
    <s v="ZOM-10278"/>
    <d v="2024-03-09T00:00:00"/>
    <d v="1899-12-30T04:34:00"/>
    <x v="7"/>
    <x v="6"/>
    <s v="South Indian"/>
    <n v="19"/>
    <n v="1.1000000000000001"/>
    <n v="57"/>
    <n v="2291.1"/>
    <n v="150"/>
    <s v="Upi"/>
    <s v="Cancelled"/>
    <n v="5"/>
    <s v="Shadowfax"/>
    <n v="-8.85"/>
  </r>
  <r>
    <s v="ZOM-101"/>
    <d v="2024-07-12T00:00:00"/>
    <d v="1899-12-30T12:00:00"/>
    <x v="6"/>
    <x v="0"/>
    <s v="Biryani"/>
    <n v="65"/>
    <n v="4.4000000000000004"/>
    <n v="47"/>
    <n v="1838.63"/>
    <n v="0"/>
    <s v="Wallet"/>
    <s v="Delivered"/>
    <n v="5"/>
    <s v="Dunzo"/>
    <n v="19.71"/>
  </r>
  <r>
    <s v="ZOM-10282"/>
    <d v="2024-07-03T00:00:00"/>
    <d v="1899-12-30T12:00:00"/>
    <x v="7"/>
    <x v="8"/>
    <s v="Desserts"/>
    <n v="65"/>
    <n v="4.4000000000000004"/>
    <n v="48"/>
    <n v="1821.89"/>
    <n v="0.15"/>
    <s v="Credit Card"/>
    <s v="Cancelled"/>
    <n v="2"/>
    <s v="Zomato Valet"/>
    <n v="-57.97"/>
  </r>
  <r>
    <s v="ZOM-10283"/>
    <d v="2024-01-04T00:00:00"/>
    <d v="1899-12-30T12:00:00"/>
    <x v="6"/>
    <x v="5"/>
    <s v="Bakery"/>
    <n v="24"/>
    <n v="3.1"/>
    <n v="64"/>
    <n v="905.78"/>
    <n v="75"/>
    <s v="Wallet"/>
    <s v="Unknown"/>
    <n v="4"/>
    <s v="Zomato Valet"/>
    <n v="-32.700000000000003"/>
  </r>
  <r>
    <s v="Unkown"/>
    <d v="2024-01-20T00:00:00"/>
    <d v="1899-12-30T12:00:00"/>
    <x v="8"/>
    <x v="6"/>
    <s v="Mughlai"/>
    <n v="56"/>
    <n v="4.8"/>
    <n v="50"/>
    <n v="1813.01"/>
    <n v="100"/>
    <s v="Wallet"/>
    <s v="Delivered"/>
    <n v="8"/>
    <s v="In-House"/>
    <n v="123.6"/>
  </r>
  <r>
    <s v="ZOM-10285"/>
    <d v="2024-04-05T00:00:00"/>
    <d v="1899-12-30T12:00:00"/>
    <x v="10"/>
    <x v="3"/>
    <s v="North Indian, Biryani"/>
    <n v="43"/>
    <n v="0"/>
    <n v="47"/>
    <n v="772.53"/>
    <n v="0"/>
    <s v="Wallet"/>
    <s v="Delivered"/>
    <n v="9"/>
    <s v="Unknown"/>
    <n v="-70.48"/>
  </r>
  <r>
    <s v="ZOM-10286"/>
    <d v="2024-03-02T00:00:00"/>
    <d v="1899-12-30T12:00:00"/>
    <x v="0"/>
    <x v="8"/>
    <s v="North Indian"/>
    <n v="28"/>
    <n v="3.3"/>
    <n v="16"/>
    <n v="2358.5"/>
    <n v="150"/>
    <s v="Upi"/>
    <s v="Refunded"/>
    <n v="4"/>
    <s v="In-House"/>
    <n v="166.45"/>
  </r>
  <r>
    <s v="Unkown"/>
    <d v="2024-11-03T00:00:00"/>
    <d v="1899-12-30T12:00:00"/>
    <x v="7"/>
    <x v="9"/>
    <s v="Fast Food"/>
    <n v="18"/>
    <n v="2.5"/>
    <n v="61"/>
    <n v="2364.9"/>
    <n v="50"/>
    <s v="Wallet"/>
    <s v="Refunded"/>
    <n v="4"/>
    <s v="Shadowfax"/>
    <n v="243.16"/>
  </r>
  <r>
    <s v="ZOM-10289"/>
    <d v="2024-04-01T00:00:00"/>
    <d v="1899-12-30T12:00:00"/>
    <x v="8"/>
    <x v="5"/>
    <s v="Mughlai"/>
    <n v="43"/>
    <n v="2"/>
    <n v="58"/>
    <n v="1268.49"/>
    <n v="0"/>
    <s v="Credit Card"/>
    <s v="Delivered"/>
    <n v="10"/>
    <s v="Zomato Valet"/>
    <n v="19.190000000000001"/>
  </r>
  <r>
    <s v="ZOM-10290"/>
    <d v="2024-05-25T00:00:00"/>
    <d v="1899-12-30T12:00:00"/>
    <x v="7"/>
    <x v="4"/>
    <s v="North Indian"/>
    <n v="29"/>
    <n v="1.8"/>
    <n v="30"/>
    <n v="486.85"/>
    <n v="0"/>
    <s v="Cash On Delivery"/>
    <s v="Delivered"/>
    <n v="8"/>
    <s v="In-House"/>
    <n v="47.9"/>
  </r>
  <r>
    <s v="ZOM-10291"/>
    <d v="2024-03-24T00:00:00"/>
    <d v="1899-12-30T12:00:00"/>
    <x v="2"/>
    <x v="11"/>
    <s v="Bakery"/>
    <n v="18"/>
    <n v="4"/>
    <n v="44"/>
    <n v="448.63"/>
    <n v="0.5"/>
    <s v="Upi"/>
    <s v="Refunded"/>
    <n v="5"/>
    <s v="Grab"/>
    <n v="90.73"/>
  </r>
  <r>
    <s v="ZOM-10292"/>
    <d v="2024-07-06T00:00:00"/>
    <d v="1899-12-30T03:27:00"/>
    <x v="6"/>
    <x v="10"/>
    <s v="Italian, Italian"/>
    <n v="58"/>
    <n v="4.2"/>
    <n v="79"/>
    <n v="1007.32"/>
    <n v="0.6"/>
    <s v="Debit Card"/>
    <s v="Delivered"/>
    <n v="0"/>
    <s v="In-House"/>
    <n v="188.24"/>
  </r>
  <r>
    <s v="ZOM-10293"/>
    <d v="2024-03-13T00:00:00"/>
    <d v="1899-12-30T12:00:00"/>
    <x v="8"/>
    <x v="3"/>
    <s v="North Indian"/>
    <n v="0"/>
    <n v="3.5"/>
    <n v="60"/>
    <n v="1861.93"/>
    <n v="0.15"/>
    <s v="Upi"/>
    <s v="Delivered"/>
    <n v="10"/>
    <s v="Shadowfax"/>
    <n v="227.65"/>
  </r>
  <r>
    <s v="ZOM-10295"/>
    <d v="2024-06-22T00:00:00"/>
    <d v="1899-12-30T12:00:00"/>
    <x v="6"/>
    <x v="1"/>
    <s v="Chinese"/>
    <n v="64"/>
    <n v="4.3"/>
    <n v="57"/>
    <n v="1408.67"/>
    <n v="75"/>
    <s v="Debit Card"/>
    <s v="Delivered"/>
    <n v="5"/>
    <s v="Unknown"/>
    <n v="201.26"/>
  </r>
  <r>
    <s v="ZOM-10296"/>
    <d v="2024-03-29T00:00:00"/>
    <d v="1899-12-30T12:00:00"/>
    <x v="3"/>
    <x v="0"/>
    <s v="Bakery"/>
    <n v="53"/>
    <n v="5"/>
    <n v="31"/>
    <n v="1020.66"/>
    <n v="0.5"/>
    <s v="Credit Card"/>
    <s v="Cancelled"/>
    <n v="9"/>
    <s v="Grab"/>
    <n v="217.15"/>
  </r>
  <r>
    <s v="ZOM-10297"/>
    <d v="2024-06-19T00:00:00"/>
    <d v="1899-12-30T09:36:00"/>
    <x v="7"/>
    <x v="1"/>
    <s v="Fast Food, Desserts"/>
    <n v="59"/>
    <n v="4.5999999999999996"/>
    <n v="68"/>
    <n v="2438.71"/>
    <n v="120"/>
    <s v="Credit Card"/>
    <s v="Delivered"/>
    <n v="0"/>
    <s v="Rapido"/>
    <n v="75.73"/>
  </r>
  <r>
    <s v="ZOM-10299"/>
    <d v="2024-07-02T00:00:00"/>
    <d v="1899-12-30T12:00:00"/>
    <x v="14"/>
    <x v="1"/>
    <s v="Italian"/>
    <n v="50"/>
    <n v="2.8"/>
    <n v="28"/>
    <n v="467.44"/>
    <n v="0"/>
    <s v="Wallet"/>
    <s v="Cancelled"/>
    <n v="2"/>
    <s v="Grab"/>
    <n v="0.76"/>
  </r>
  <r>
    <s v="ZOM-10301"/>
    <d v="2024-03-29T00:00:00"/>
    <d v="1899-12-30T12:00:00"/>
    <x v="3"/>
    <x v="4"/>
    <s v="Not Known"/>
    <n v="39"/>
    <n v="1.8"/>
    <n v="53"/>
    <n v="1971.67"/>
    <n v="75"/>
    <s v="Cash On Delivery"/>
    <s v="Delivered"/>
    <n v="1"/>
    <s v="Grab"/>
    <n v="87.45"/>
  </r>
  <r>
    <s v="ZOM-10302"/>
    <d v="2024-05-17T00:00:00"/>
    <d v="1899-12-30T12:00:00"/>
    <x v="10"/>
    <x v="4"/>
    <s v="Mughlai"/>
    <n v="65"/>
    <n v="4.3"/>
    <n v="72"/>
    <n v="435.47"/>
    <n v="0.15"/>
    <s v="Net Banking"/>
    <s v="Delivered"/>
    <n v="2"/>
    <s v="Grab"/>
    <n v="98.98"/>
  </r>
  <r>
    <s v="ZOM-10303"/>
    <d v="2024-05-28T00:00:00"/>
    <d v="1899-12-30T12:00:00"/>
    <x v="0"/>
    <x v="10"/>
    <s v="Italian"/>
    <n v="50"/>
    <n v="3.6"/>
    <n v="46"/>
    <n v="931.92"/>
    <n v="150"/>
    <s v="Cash On Delivery"/>
    <s v="Delivered"/>
    <n v="3"/>
    <s v="Shadowfax"/>
    <n v="20.53"/>
  </r>
  <r>
    <s v="ZOM-10304"/>
    <d v="2024-05-17T00:00:00"/>
    <d v="1899-12-30T12:00:00"/>
    <x v="0"/>
    <x v="8"/>
    <s v="Chinese"/>
    <n v="28"/>
    <n v="3.4"/>
    <n v="48"/>
    <n v="2455.15"/>
    <n v="150"/>
    <s v="Debit Card"/>
    <s v="Refunded"/>
    <n v="6"/>
    <s v="Grab"/>
    <n v="0"/>
  </r>
  <r>
    <s v="ZOM-10305"/>
    <d v="2024-04-14T00:00:00"/>
    <d v="1899-12-30T12:04:00"/>
    <x v="23"/>
    <x v="6"/>
    <s v="Not Known"/>
    <n v="42"/>
    <n v="3.2"/>
    <n v="28"/>
    <n v="1589.78"/>
    <n v="0.1"/>
    <s v="Credit Card"/>
    <s v="Delivered"/>
    <n v="7"/>
    <s v="In-House"/>
    <n v="2.4500000000000002"/>
  </r>
  <r>
    <s v="ZOM-10307"/>
    <d v="2024-07-10T00:00:00"/>
    <d v="1899-12-30T12:00:00"/>
    <x v="11"/>
    <x v="8"/>
    <s v="Bakery, Street Food"/>
    <n v="38"/>
    <n v="3"/>
    <n v="23"/>
    <n v="1867.95"/>
    <n v="0"/>
    <s v="Net Banking"/>
    <s v="Delivered"/>
    <n v="2"/>
    <s v="In-House"/>
    <n v="68.930000000000007"/>
  </r>
  <r>
    <s v="ZOM-10308"/>
    <d v="2024-01-19T00:00:00"/>
    <d v="1899-12-30T06:12:00"/>
    <x v="7"/>
    <x v="0"/>
    <s v="Not Known"/>
    <n v="45"/>
    <n v="4.4000000000000004"/>
    <n v="56"/>
    <n v="1387.03"/>
    <n v="0.6"/>
    <s v="Debit Card"/>
    <s v="Cancelled"/>
    <n v="1"/>
    <s v="Rapido"/>
    <n v="177.22"/>
  </r>
  <r>
    <s v="ZOM-10309"/>
    <d v="2024-03-21T00:00:00"/>
    <d v="1899-12-30T07:51:00"/>
    <x v="5"/>
    <x v="6"/>
    <s v="Mughlai"/>
    <n v="65"/>
    <n v="1.2"/>
    <n v="40"/>
    <n v="609.4"/>
    <n v="0"/>
    <s v="Credit Card"/>
    <s v="Cancelled"/>
    <n v="10"/>
    <s v="Dunzo"/>
    <n v="-16.98"/>
  </r>
  <r>
    <s v="ZOM-10310"/>
    <d v="2024-03-06T00:00:00"/>
    <d v="1899-12-30T12:00:00"/>
    <x v="12"/>
    <x v="7"/>
    <s v="Desserts"/>
    <n v="59"/>
    <n v="5"/>
    <n v="56"/>
    <n v="2048.1999999999998"/>
    <n v="0"/>
    <s v="Debit Card"/>
    <s v="Cancelled"/>
    <n v="8"/>
    <s v="Zomato Valet"/>
    <n v="205.89"/>
  </r>
  <r>
    <s v="ZOM-10311"/>
    <d v="2024-02-10T00:00:00"/>
    <d v="1899-12-30T12:00:00"/>
    <x v="3"/>
    <x v="9"/>
    <s v="Chinese"/>
    <n v="38"/>
    <n v="0"/>
    <n v="0"/>
    <n v="187.82"/>
    <n v="50"/>
    <s v="Cash On Delivery"/>
    <s v="Delivered"/>
    <n v="4"/>
    <s v="Zomato Valet"/>
    <n v="239.68"/>
  </r>
  <r>
    <s v="ZOM-10312"/>
    <d v="2024-04-22T00:00:00"/>
    <d v="1899-12-30T12:00:00"/>
    <x v="12"/>
    <x v="1"/>
    <s v="Street Food"/>
    <n v="65"/>
    <n v="3.3"/>
    <n v="47"/>
    <n v="428.94"/>
    <n v="0.1"/>
    <s v="Wallet"/>
    <s v="Delivered"/>
    <n v="5"/>
    <s v="Dunzo"/>
    <n v="114.96"/>
  </r>
  <r>
    <s v="ZOM-10313"/>
    <d v="2024-03-02T00:00:00"/>
    <d v="1899-12-30T12:00:00"/>
    <x v="11"/>
    <x v="7"/>
    <s v="North Indian, Chinese"/>
    <n v="38"/>
    <n v="0"/>
    <n v="59"/>
    <n v="566.84"/>
    <n v="100"/>
    <s v="Cash On Delivery"/>
    <s v="Delivered"/>
    <n v="6"/>
    <s v="Dunzo"/>
    <n v="32.520000000000003"/>
  </r>
  <r>
    <s v="ZOM-10314"/>
    <d v="2024-01-25T00:00:00"/>
    <d v="1899-12-30T12:00:00"/>
    <x v="24"/>
    <x v="8"/>
    <s v="South Indian"/>
    <n v="46"/>
    <n v="4.9000000000000004"/>
    <n v="70"/>
    <n v="2432.6"/>
    <n v="120"/>
    <s v="Credit Card"/>
    <s v="Cancelled"/>
    <n v="3"/>
    <s v="Rapido"/>
    <n v="184.09"/>
  </r>
  <r>
    <s v="ZOM-10316"/>
    <d v="2024-10-02T00:00:00"/>
    <d v="1899-12-30T12:00:00"/>
    <x v="9"/>
    <x v="5"/>
    <s v="Bakery"/>
    <n v="38"/>
    <n v="0"/>
    <n v="34"/>
    <n v="1367.69"/>
    <n v="50"/>
    <s v="Wallet"/>
    <s v="Delivered"/>
    <n v="6"/>
    <s v="Dunzo"/>
    <n v="196.53"/>
  </r>
  <r>
    <s v="ZOM-10317"/>
    <d v="2024-02-13T00:00:00"/>
    <d v="1899-12-30T04:37:00"/>
    <x v="5"/>
    <x v="10"/>
    <s v="Mughlai"/>
    <n v="35"/>
    <n v="3.9"/>
    <n v="80"/>
    <n v="902.61"/>
    <n v="0.2"/>
    <s v="Unknown"/>
    <s v="Delivered"/>
    <n v="5"/>
    <s v="Zomato Valet"/>
    <n v="80.989999999999995"/>
  </r>
  <r>
    <s v="ZOM-10318"/>
    <d v="2024-06-19T00:00:00"/>
    <d v="1899-12-30T12:00:00"/>
    <x v="0"/>
    <x v="9"/>
    <s v="Bakery"/>
    <n v="46"/>
    <n v="3.3"/>
    <n v="66"/>
    <n v="2055.3200000000002"/>
    <n v="150"/>
    <s v="Upi"/>
    <s v="Refunded"/>
    <n v="8"/>
    <s v="Dunzo"/>
    <n v="36.28"/>
  </r>
  <r>
    <s v="ZOM-10319"/>
    <d v="2024-03-24T00:00:00"/>
    <d v="1899-12-30T03:38:00"/>
    <x v="11"/>
    <x v="8"/>
    <s v="Fast Food"/>
    <n v="65"/>
    <n v="4.9000000000000004"/>
    <n v="54"/>
    <n v="361.09"/>
    <n v="75"/>
    <s v="Net Banking"/>
    <s v="Refunded"/>
    <n v="8"/>
    <s v="Dunzo"/>
    <n v="26.51"/>
  </r>
  <r>
    <s v="ZOM-10321"/>
    <d v="2024-06-05T00:00:00"/>
    <d v="1899-12-30T12:00:00"/>
    <x v="6"/>
    <x v="8"/>
    <s v="Italian"/>
    <n v="34"/>
    <n v="2.5"/>
    <n v="45"/>
    <n v="881.97"/>
    <n v="50"/>
    <s v="Debit Card"/>
    <s v="Delivered"/>
    <n v="9"/>
    <s v="In-House"/>
    <n v="186.39"/>
  </r>
  <r>
    <s v="ZOM-10322"/>
    <d v="2024-06-14T00:00:00"/>
    <d v="1899-12-30T12:00:00"/>
    <x v="5"/>
    <x v="1"/>
    <s v="Not Known"/>
    <n v="59"/>
    <n v="0"/>
    <n v="33"/>
    <n v="271.79000000000002"/>
    <n v="75"/>
    <s v="Net Banking"/>
    <s v="Delivered"/>
    <n v="7"/>
    <s v="Shadowfax"/>
    <n v="150.08000000000001"/>
  </r>
  <r>
    <s v="ZOM-10323"/>
    <d v="2024-05-10T00:00:00"/>
    <d v="1899-12-30T12:00:00"/>
    <x v="3"/>
    <x v="0"/>
    <s v="South Indian"/>
    <n v="33"/>
    <n v="4.0999999999999996"/>
    <n v="38"/>
    <n v="190.18"/>
    <n v="75"/>
    <s v="Upi"/>
    <s v="Delivered"/>
    <n v="6"/>
    <s v="Shadowfax"/>
    <n v="153.4"/>
  </r>
  <r>
    <s v="ZOM-10324"/>
    <d v="2024-04-12T00:00:00"/>
    <d v="1899-12-30T12:00:00"/>
    <x v="11"/>
    <x v="0"/>
    <s v="Street Food"/>
    <n v="51"/>
    <n v="0"/>
    <n v="54"/>
    <n v="185.82"/>
    <n v="0"/>
    <s v="Credit Card"/>
    <s v="Cancelled"/>
    <n v="3"/>
    <s v="Rapido"/>
    <n v="65.430000000000007"/>
  </r>
  <r>
    <s v="ZOM-10325"/>
    <d v="2024-04-23T00:00:00"/>
    <d v="1899-12-30T01:02:00"/>
    <x v="3"/>
    <x v="5"/>
    <s v="Fast Food"/>
    <n v="39"/>
    <n v="4.7"/>
    <n v="64"/>
    <n v="1986.07"/>
    <n v="0"/>
    <s v="Debit Card"/>
    <s v="Delivered"/>
    <n v="8"/>
    <s v="In-House"/>
    <n v="-47.4"/>
  </r>
  <r>
    <s v="ZOM-10327"/>
    <d v="2024-06-24T00:00:00"/>
    <d v="1899-12-30T02:48:00"/>
    <x v="3"/>
    <x v="6"/>
    <s v="Desserts"/>
    <n v="18"/>
    <n v="0"/>
    <n v="29"/>
    <n v="0"/>
    <n v="0.2"/>
    <s v="Credit Card"/>
    <s v="Delivered"/>
    <n v="5"/>
    <s v="Grab"/>
    <n v="217.69"/>
  </r>
  <r>
    <s v="ZOM-10328"/>
    <d v="2024-03-10T00:00:00"/>
    <d v="1899-12-30T01:58:00"/>
    <x v="6"/>
    <x v="1"/>
    <s v="Italian"/>
    <n v="22"/>
    <n v="1.5"/>
    <n v="77"/>
    <n v="278.27"/>
    <n v="0.2"/>
    <s v="Wallet"/>
    <s v="Refunded"/>
    <n v="2"/>
    <s v="Grab"/>
    <n v="233.57"/>
  </r>
  <r>
    <s v="ZOM-10329"/>
    <d v="2024-10-01T00:00:00"/>
    <d v="1899-12-30T12:00:00"/>
    <x v="0"/>
    <x v="9"/>
    <s v="Fast Food"/>
    <n v="30"/>
    <n v="3.9"/>
    <n v="0"/>
    <n v="153.82"/>
    <n v="75"/>
    <s v="Credit Card"/>
    <s v="Delivered"/>
    <n v="4"/>
    <s v="Shadowfax"/>
    <n v="0"/>
  </r>
  <r>
    <s v="ZOM-10330"/>
    <d v="2024-06-03T00:00:00"/>
    <d v="1899-12-30T12:00:00"/>
    <x v="13"/>
    <x v="7"/>
    <s v="Fast Food"/>
    <n v="61"/>
    <n v="2.5"/>
    <n v="64"/>
    <n v="1949.5"/>
    <n v="0.1"/>
    <s v="Net Banking"/>
    <s v="Delivered"/>
    <n v="10"/>
    <s v="Grab"/>
    <n v="145.35"/>
  </r>
  <r>
    <s v="ZOM-10331"/>
    <d v="2024-04-26T00:00:00"/>
    <d v="1899-12-30T12:00:00"/>
    <x v="13"/>
    <x v="4"/>
    <s v="Fast Food, Biryani"/>
    <n v="47"/>
    <n v="4.5"/>
    <n v="66"/>
    <n v="417.56"/>
    <n v="0.5"/>
    <s v="Cash On Delivery"/>
    <s v="Delivered"/>
    <n v="3"/>
    <s v="In-House"/>
    <n v="155.15"/>
  </r>
  <r>
    <s v="ZOM-10334"/>
    <d v="2024-01-30T00:00:00"/>
    <d v="1899-12-30T12:00:00"/>
    <x v="8"/>
    <x v="1"/>
    <s v="Desserts"/>
    <n v="49"/>
    <n v="3.3"/>
    <n v="25"/>
    <n v="2229.85"/>
    <n v="0.2"/>
    <s v="Wallet"/>
    <s v="Cancelled"/>
    <n v="2"/>
    <s v="Dunzo"/>
    <n v="-74.73"/>
  </r>
  <r>
    <s v="ZOM-10335"/>
    <d v="2024-05-03T00:00:00"/>
    <d v="1899-12-30T12:00:00"/>
    <x v="3"/>
    <x v="4"/>
    <s v="Mughlai"/>
    <n v="60"/>
    <n v="1.3"/>
    <n v="31"/>
    <n v="2195.46"/>
    <n v="0"/>
    <s v="Unknown"/>
    <s v="Delivered"/>
    <n v="5"/>
    <s v="In-House"/>
    <n v="89.15"/>
  </r>
  <r>
    <s v="ZOM-10336"/>
    <d v="2024-02-03T00:00:00"/>
    <d v="1899-12-30T11:49:00"/>
    <x v="3"/>
    <x v="9"/>
    <s v="Not Known"/>
    <n v="24"/>
    <n v="1.7"/>
    <n v="51"/>
    <n v="2027.47"/>
    <n v="0"/>
    <s v="Unknown"/>
    <s v="Refunded"/>
    <n v="8"/>
    <s v="In-House"/>
    <n v="-45.08"/>
  </r>
  <r>
    <s v="ZOM-10337"/>
    <d v="2024-07-09T00:00:00"/>
    <d v="1899-12-30T12:00:00"/>
    <x v="2"/>
    <x v="6"/>
    <s v="Street Food"/>
    <n v="63"/>
    <n v="2.2000000000000002"/>
    <n v="22"/>
    <n v="1173.19"/>
    <n v="0"/>
    <s v="Credit Card"/>
    <s v="Cancelled"/>
    <n v="3"/>
    <s v="Dunzo"/>
    <n v="50.24"/>
  </r>
  <r>
    <s v="ZOM-10338"/>
    <d v="2024-06-12T00:00:00"/>
    <d v="1899-12-30T12:00:00"/>
    <x v="1"/>
    <x v="5"/>
    <s v="Mughlai"/>
    <n v="23"/>
    <n v="4.5999999999999996"/>
    <n v="26"/>
    <n v="877.79"/>
    <n v="150"/>
    <s v="Wallet"/>
    <s v="Refunded"/>
    <n v="8"/>
    <s v="Dunzo"/>
    <n v="249.7"/>
  </r>
  <r>
    <s v="ZOM-10341"/>
    <d v="2024-01-05T00:00:00"/>
    <d v="1899-12-30T12:00:00"/>
    <x v="9"/>
    <x v="10"/>
    <s v="Chinese"/>
    <n v="38"/>
    <n v="1.4"/>
    <n v="56"/>
    <n v="313.51"/>
    <n v="150"/>
    <s v="Debit Card"/>
    <s v="Refunded"/>
    <n v="8"/>
    <s v="Shadowfax"/>
    <n v="37.54"/>
  </r>
  <r>
    <s v="ZOM-10342"/>
    <d v="2024-03-22T00:00:00"/>
    <d v="1899-12-30T12:00:00"/>
    <x v="9"/>
    <x v="10"/>
    <s v="Chinese"/>
    <n v="62"/>
    <n v="1"/>
    <n v="33"/>
    <n v="0"/>
    <n v="100"/>
    <s v="Upi"/>
    <s v="Delivered"/>
    <n v="6"/>
    <s v="Zomato Valet"/>
    <n v="-14.73"/>
  </r>
  <r>
    <s v="ZOM-10343"/>
    <d v="2024-03-23T00:00:00"/>
    <d v="1899-12-30T12:00:00"/>
    <x v="7"/>
    <x v="11"/>
    <s v="Italian"/>
    <n v="20"/>
    <n v="2.2999999999999998"/>
    <n v="20"/>
    <n v="2222.16"/>
    <n v="50"/>
    <s v="Cash On Delivery"/>
    <s v="Delivered"/>
    <n v="6"/>
    <s v="Dunzo"/>
    <n v="167.78"/>
  </r>
  <r>
    <s v="ZOM-10344"/>
    <d v="2024-06-13T00:00:00"/>
    <d v="1899-12-30T01:30:00"/>
    <x v="3"/>
    <x v="5"/>
    <s v="Not Known"/>
    <n v="62"/>
    <n v="1.2"/>
    <n v="29"/>
    <n v="2380.92"/>
    <n v="0.2"/>
    <s v="Debit Card"/>
    <s v="Delivered"/>
    <n v="7"/>
    <s v="Rapido"/>
    <n v="-68.12"/>
  </r>
  <r>
    <s v="ZOM-10345"/>
    <d v="2024-01-21T00:00:00"/>
    <d v="1899-12-30T12:00:00"/>
    <x v="3"/>
    <x v="10"/>
    <s v="Fast Food"/>
    <n v="34"/>
    <n v="3.6"/>
    <n v="72"/>
    <n v="1556.02"/>
    <n v="100"/>
    <s v="Credit Card"/>
    <s v="Delivered"/>
    <n v="10"/>
    <s v="In-House"/>
    <n v="142.49"/>
  </r>
  <r>
    <s v="ZOM-10346"/>
    <d v="2024-01-14T00:00:00"/>
    <d v="1899-12-30T10:06:00"/>
    <x v="15"/>
    <x v="0"/>
    <s v="Mughlai"/>
    <n v="56"/>
    <n v="4.7"/>
    <n v="51"/>
    <n v="2012.11"/>
    <n v="0"/>
    <s v="Net Banking"/>
    <s v="Delivered"/>
    <n v="1"/>
    <s v="Dunzo"/>
    <n v="237.2"/>
  </r>
  <r>
    <s v="ZOM-10347"/>
    <d v="2024-04-18T00:00:00"/>
    <d v="1899-12-30T12:00:00"/>
    <x v="25"/>
    <x v="9"/>
    <s v="Chinese"/>
    <n v="48"/>
    <n v="1.5"/>
    <n v="73"/>
    <n v="2190.1"/>
    <n v="75"/>
    <s v="Upi"/>
    <s v="Cancelled"/>
    <n v="1"/>
    <s v="Grab"/>
    <n v="0"/>
  </r>
  <r>
    <s v="ZOM-10348"/>
    <d v="2024-07-16T00:00:00"/>
    <d v="1899-12-30T09:35:00"/>
    <x v="21"/>
    <x v="5"/>
    <s v="North Indian, Bakery"/>
    <n v="45"/>
    <n v="3.8"/>
    <n v="21"/>
    <n v="801.91"/>
    <n v="0.5"/>
    <s v="Net Banking"/>
    <s v="Delivered"/>
    <n v="7"/>
    <s v="Shadowfax"/>
    <n v="244.56"/>
  </r>
  <r>
    <s v="ZOM-10349"/>
    <d v="2024-06-05T00:00:00"/>
    <d v="1899-12-30T12:00:00"/>
    <x v="7"/>
    <x v="4"/>
    <s v="Street Food"/>
    <n v="58"/>
    <n v="2.4"/>
    <n v="35"/>
    <n v="2145.61"/>
    <n v="50"/>
    <s v="Wallet"/>
    <s v="Delivered"/>
    <n v="5"/>
    <s v="Rapido"/>
    <n v="-5.16"/>
  </r>
  <r>
    <s v="ZOM-10350"/>
    <d v="2024-06-07T00:00:00"/>
    <d v="1899-12-30T12:00:00"/>
    <x v="6"/>
    <x v="7"/>
    <s v="Mughlai"/>
    <n v="50"/>
    <n v="3"/>
    <n v="54"/>
    <n v="695.56"/>
    <n v="120"/>
    <s v="Wallet"/>
    <s v="Delivered"/>
    <n v="2"/>
    <s v="Zomato Valet"/>
    <n v="59.23"/>
  </r>
  <r>
    <s v="ZOM-10352"/>
    <d v="2024-06-29T00:00:00"/>
    <d v="1899-12-30T12:00:00"/>
    <x v="6"/>
    <x v="0"/>
    <s v="Mughlai"/>
    <n v="64"/>
    <n v="0"/>
    <n v="77"/>
    <n v="533.92999999999995"/>
    <n v="0"/>
    <s v="Debit Card"/>
    <s v="Delivered"/>
    <n v="0"/>
    <s v="In-House"/>
    <n v="0"/>
  </r>
  <r>
    <s v="ZOM-10353"/>
    <d v="2024-06-23T00:00:00"/>
    <d v="1899-12-30T12:00:00"/>
    <x v="5"/>
    <x v="4"/>
    <s v="Not Known"/>
    <n v="62"/>
    <n v="3.8"/>
    <n v="62"/>
    <n v="1630.9"/>
    <n v="75"/>
    <s v="Cash On Delivery"/>
    <s v="Refunded"/>
    <n v="9"/>
    <s v="Shadowfax"/>
    <n v="-40.07"/>
  </r>
  <r>
    <s v="ZOM-10354"/>
    <d v="2024-04-24T00:00:00"/>
    <d v="1899-12-30T12:00:00"/>
    <x v="7"/>
    <x v="10"/>
    <s v="Fast Food"/>
    <n v="50"/>
    <n v="1.5"/>
    <n v="16"/>
    <n v="841.96"/>
    <n v="0.15"/>
    <s v="Cash On Delivery"/>
    <s v="Delivered"/>
    <n v="9"/>
    <s v="Zomato Valet"/>
    <n v="88.26"/>
  </r>
  <r>
    <s v="ZOM-10355"/>
    <d v="2024-01-19T00:00:00"/>
    <d v="1899-12-30T12:00:00"/>
    <x v="11"/>
    <x v="13"/>
    <s v="Desserts, Desserts"/>
    <n v="56"/>
    <n v="1.9"/>
    <n v="76"/>
    <n v="1583.45"/>
    <n v="150"/>
    <s v="Wallet"/>
    <s v="Delivered"/>
    <n v="3"/>
    <s v="Unknown"/>
    <n v="11.54"/>
  </r>
  <r>
    <s v="ZOM-10356"/>
    <d v="2024-03-28T00:00:00"/>
    <d v="1899-12-30T12:00:00"/>
    <x v="9"/>
    <x v="7"/>
    <s v="Street Food"/>
    <n v="48"/>
    <n v="3.8"/>
    <n v="23"/>
    <n v="718.79"/>
    <n v="0.2"/>
    <s v="Net Banking"/>
    <s v="Cancelled"/>
    <n v="6"/>
    <s v="Rapido"/>
    <n v="117.26"/>
  </r>
  <r>
    <s v="ZOM-10357"/>
    <d v="2024-02-05T00:00:00"/>
    <d v="1899-12-30T12:00:00"/>
    <x v="11"/>
    <x v="10"/>
    <s v="Biryani"/>
    <n v="29"/>
    <n v="4.2"/>
    <n v="65"/>
    <n v="1272.74"/>
    <n v="120"/>
    <s v="Debit Card"/>
    <s v="Delivered"/>
    <n v="0"/>
    <s v="Shadowfax"/>
    <n v="83.37"/>
  </r>
  <r>
    <s v="ZOM-10358"/>
    <d v="2024-10-05T00:00:00"/>
    <d v="1899-12-30T12:00:00"/>
    <x v="1"/>
    <x v="1"/>
    <s v="South Indian"/>
    <n v="35"/>
    <n v="3.1"/>
    <n v="21"/>
    <n v="2323.2800000000002"/>
    <n v="0.6"/>
    <s v="Unknown"/>
    <s v="Refunded"/>
    <n v="4"/>
    <s v="Shadowfax"/>
    <n v="168.07"/>
  </r>
  <r>
    <s v="ZOM-10359"/>
    <d v="2024-06-01T00:00:00"/>
    <d v="1899-12-30T12:00:00"/>
    <x v="5"/>
    <x v="0"/>
    <s v="Biryani"/>
    <n v="33"/>
    <n v="1.7"/>
    <n v="29"/>
    <n v="0"/>
    <n v="100"/>
    <s v="Net Banking"/>
    <s v="Cancelled"/>
    <n v="8"/>
    <s v="Shadowfax"/>
    <n v="122.97"/>
  </r>
  <r>
    <s v="ZOM-10361"/>
    <d v="2024-03-07T00:00:00"/>
    <d v="1899-12-30T12:00:00"/>
    <x v="5"/>
    <x v="0"/>
    <s v="South Indian"/>
    <n v="34"/>
    <n v="4.7"/>
    <n v="52"/>
    <n v="457.09"/>
    <n v="50"/>
    <s v="Credit Card"/>
    <s v="Delivered"/>
    <n v="3"/>
    <s v="Dunzo"/>
    <n v="215.32"/>
  </r>
  <r>
    <s v="ZOM-10362"/>
    <d v="2024-07-01T00:00:00"/>
    <d v="1899-12-30T12:00:00"/>
    <x v="0"/>
    <x v="8"/>
    <s v="Fast Food, Fast Food"/>
    <n v="50"/>
    <n v="3"/>
    <n v="65"/>
    <n v="441.18"/>
    <n v="0.15"/>
    <s v="Credit Card"/>
    <s v="Refunded"/>
    <n v="4"/>
    <s v="Shadowfax"/>
    <n v="-57.87"/>
  </r>
  <r>
    <s v="Unkown"/>
    <d v="2024-04-27T00:00:00"/>
    <d v="1899-12-30T06:03:00"/>
    <x v="11"/>
    <x v="1"/>
    <s v="Bakery"/>
    <n v="44"/>
    <n v="4.4000000000000004"/>
    <n v="17"/>
    <n v="612.41"/>
    <n v="0.2"/>
    <s v="Upi"/>
    <s v="Unknown"/>
    <n v="1"/>
    <s v="Shadowfax"/>
    <n v="-31.43"/>
  </r>
  <r>
    <s v="ZOM-10365"/>
    <d v="2024-07-01T00:00:00"/>
    <d v="1899-12-30T12:00:00"/>
    <x v="10"/>
    <x v="3"/>
    <s v="Biryani"/>
    <n v="49"/>
    <n v="3.1"/>
    <n v="79"/>
    <n v="280.14999999999998"/>
    <n v="100"/>
    <s v="Debit Card"/>
    <s v="Refunded"/>
    <n v="10"/>
    <s v="Grab"/>
    <n v="0"/>
  </r>
  <r>
    <s v="ZOM-10366"/>
    <d v="2024-02-19T00:00:00"/>
    <d v="1899-12-30T02:15:00"/>
    <x v="13"/>
    <x v="9"/>
    <s v="Mughlai"/>
    <n v="61"/>
    <n v="1.3"/>
    <n v="58"/>
    <n v="1587.98"/>
    <n v="75"/>
    <s v="Net Banking"/>
    <s v="Refunded"/>
    <n v="10"/>
    <s v="Rapido"/>
    <n v="176.84"/>
  </r>
  <r>
    <s v="ZOM-10367"/>
    <d v="2024-03-10T00:00:00"/>
    <d v="1899-12-30T12:00:00"/>
    <x v="1"/>
    <x v="5"/>
    <s v="Street Food"/>
    <n v="27"/>
    <n v="3.8"/>
    <n v="67"/>
    <n v="1887.21"/>
    <n v="0.1"/>
    <s v="Credit Card"/>
    <s v="Delivered"/>
    <n v="7"/>
    <s v="Grab"/>
    <n v="-69.900000000000006"/>
  </r>
  <r>
    <s v="ZOM-10368"/>
    <d v="2024-05-05T00:00:00"/>
    <d v="1899-12-30T12:00:00"/>
    <x v="6"/>
    <x v="3"/>
    <s v="South Indian, North Indian"/>
    <n v="45"/>
    <n v="1.4"/>
    <n v="34"/>
    <n v="0"/>
    <n v="0.15"/>
    <s v="Debit Card"/>
    <s v="Refunded"/>
    <n v="5"/>
    <s v="Dunzo"/>
    <n v="0"/>
  </r>
  <r>
    <s v="Unkown"/>
    <d v="2024-02-19T00:00:00"/>
    <d v="1899-12-30T12:00:00"/>
    <x v="8"/>
    <x v="10"/>
    <s v="Bakery"/>
    <n v="49"/>
    <n v="3.8"/>
    <n v="0"/>
    <n v="2148.13"/>
    <n v="100"/>
    <s v="Debit Card"/>
    <s v="Delivered"/>
    <n v="5"/>
    <s v="In-House"/>
    <n v="-30.92"/>
  </r>
  <r>
    <s v="ZOM-10370"/>
    <d v="2024-01-31T00:00:00"/>
    <d v="1899-12-30T12:00:00"/>
    <x v="8"/>
    <x v="3"/>
    <s v="South Indian"/>
    <n v="37"/>
    <n v="1.8"/>
    <n v="19"/>
    <n v="986.82"/>
    <n v="0.1"/>
    <s v="Upi"/>
    <s v="Delivered"/>
    <n v="6"/>
    <s v="Grab"/>
    <n v="239.01"/>
  </r>
  <r>
    <s v="ZOM-10372"/>
    <d v="2024-05-31T00:00:00"/>
    <d v="1899-12-30T12:00:00"/>
    <x v="12"/>
    <x v="11"/>
    <s v="Bakery"/>
    <n v="47"/>
    <n v="3.4"/>
    <n v="35"/>
    <n v="2106.83"/>
    <n v="0.1"/>
    <s v="Credit Card"/>
    <s v="Failed"/>
    <n v="1"/>
    <s v="Unknown"/>
    <n v="-54.89"/>
  </r>
  <r>
    <s v="ZOM-10374"/>
    <d v="2024-06-12T00:00:00"/>
    <d v="1899-12-30T12:00:00"/>
    <x v="23"/>
    <x v="6"/>
    <s v="Biryani"/>
    <n v="52"/>
    <n v="1.5"/>
    <n v="50"/>
    <n v="1989.48"/>
    <n v="0"/>
    <s v="Credit Card"/>
    <s v="Delivered"/>
    <n v="2"/>
    <s v="Zomato Valet"/>
    <n v="92.29"/>
  </r>
  <r>
    <s v="ZOM-10375"/>
    <d v="2024-12-07T00:00:00"/>
    <d v="1899-12-30T12:00:00"/>
    <x v="7"/>
    <x v="7"/>
    <s v="Bakery, Chinese"/>
    <n v="49"/>
    <n v="2.8"/>
    <n v="62"/>
    <n v="593.89"/>
    <n v="0"/>
    <s v="Net Banking"/>
    <s v="Refunded"/>
    <n v="8"/>
    <s v="Zomato Valet"/>
    <n v="91.77"/>
  </r>
  <r>
    <s v="ZOM-10376"/>
    <d v="2024-05-21T00:00:00"/>
    <d v="1899-12-30T06:49:00"/>
    <x v="7"/>
    <x v="6"/>
    <s v="South Indian"/>
    <n v="34"/>
    <n v="5"/>
    <n v="67"/>
    <n v="2455.52"/>
    <n v="0.5"/>
    <s v="Debit Card"/>
    <s v="Refunded"/>
    <n v="9"/>
    <s v="Rapido"/>
    <n v="-42.59"/>
  </r>
  <r>
    <s v="ZOM-10377"/>
    <d v="2024-01-02T00:00:00"/>
    <d v="1899-12-30T12:00:00"/>
    <x v="9"/>
    <x v="8"/>
    <s v="Street Food"/>
    <n v="60"/>
    <n v="4.5999999999999996"/>
    <n v="20"/>
    <n v="862.3"/>
    <n v="0"/>
    <s v="Debit Card"/>
    <s v="Unknown"/>
    <n v="1"/>
    <s v="Grab"/>
    <n v="-44.73"/>
  </r>
  <r>
    <s v="ZOM-10378"/>
    <d v="2024-04-03T00:00:00"/>
    <d v="1899-12-30T12:00:00"/>
    <x v="13"/>
    <x v="0"/>
    <s v="Street Food"/>
    <n v="54"/>
    <n v="4.0999999999999996"/>
    <n v="50"/>
    <n v="686.23"/>
    <n v="100"/>
    <s v="Credit Card"/>
    <s v="Delivered"/>
    <n v="10"/>
    <s v="Zomato Valet"/>
    <n v="0"/>
  </r>
  <r>
    <s v="ZOM-10379"/>
    <d v="2024-07-10T00:00:00"/>
    <d v="1899-12-30T08:38:00"/>
    <x v="9"/>
    <x v="4"/>
    <s v="North Indian"/>
    <n v="25"/>
    <n v="3.6"/>
    <n v="16"/>
    <n v="1103.79"/>
    <n v="50"/>
    <s v="Wallet"/>
    <s v="Delivered"/>
    <n v="4"/>
    <s v="In-House"/>
    <n v="-17.96"/>
  </r>
  <r>
    <s v="ZOM-10380"/>
    <d v="2024-05-05T00:00:00"/>
    <d v="1899-12-30T12:00:00"/>
    <x v="12"/>
    <x v="1"/>
    <s v="Mughlai"/>
    <n v="36"/>
    <n v="2.7"/>
    <n v="0"/>
    <n v="1989.95"/>
    <n v="75"/>
    <s v="Debit Card"/>
    <s v="Refunded"/>
    <n v="8"/>
    <s v="Shadowfax"/>
    <n v="177.73"/>
  </r>
  <r>
    <s v="ZOM-10381"/>
    <d v="2024-05-21T00:00:00"/>
    <d v="1899-12-30T05:23:00"/>
    <x v="13"/>
    <x v="5"/>
    <s v="Not Known"/>
    <n v="24"/>
    <n v="2.1"/>
    <n v="38"/>
    <n v="1613.5"/>
    <n v="0"/>
    <s v="Upi"/>
    <s v="Delivered"/>
    <n v="5"/>
    <s v="In-House"/>
    <n v="185.52"/>
  </r>
  <r>
    <s v="ZOM-10382"/>
    <d v="2024-03-06T00:00:00"/>
    <d v="1899-12-30T12:00:00"/>
    <x v="0"/>
    <x v="3"/>
    <s v="Mughlai"/>
    <n v="54"/>
    <n v="1.9"/>
    <n v="41"/>
    <n v="1231.6600000000001"/>
    <n v="0"/>
    <s v="Wallet"/>
    <s v="Cancelled"/>
    <n v="5"/>
    <s v="Zomato Valet"/>
    <n v="247.13"/>
  </r>
  <r>
    <s v="ZOM-10383"/>
    <d v="2024-01-24T00:00:00"/>
    <d v="1899-12-30T12:00:00"/>
    <x v="9"/>
    <x v="6"/>
    <s v="North Indian"/>
    <n v="39"/>
    <n v="3"/>
    <n v="51"/>
    <n v="780.85"/>
    <n v="0.2"/>
    <s v="Cash On Delivery"/>
    <s v="Unknown"/>
    <n v="3"/>
    <s v="Shadowfax"/>
    <n v="-20.8"/>
  </r>
  <r>
    <s v="ZOM-10385"/>
    <d v="2024-04-24T00:00:00"/>
    <d v="1899-12-30T12:00:00"/>
    <x v="8"/>
    <x v="0"/>
    <s v="Mughlai"/>
    <n v="21"/>
    <n v="3.8"/>
    <n v="29"/>
    <n v="1452.95"/>
    <n v="150"/>
    <s v="Wallet"/>
    <s v="Cancelled"/>
    <n v="10"/>
    <s v="Rapido"/>
    <n v="102.25"/>
  </r>
  <r>
    <s v="ZOM-10386"/>
    <d v="2024-03-26T00:00:00"/>
    <d v="1899-12-30T12:00:00"/>
    <x v="12"/>
    <x v="1"/>
    <s v="Chinese, Fast Food"/>
    <n v="22"/>
    <n v="3.5"/>
    <n v="63"/>
    <n v="885.98"/>
    <n v="0.2"/>
    <s v="Unknown"/>
    <s v="Delivered"/>
    <n v="1"/>
    <s v="Zomato Valet"/>
    <n v="186.63"/>
  </r>
  <r>
    <s v="ZOM-10387"/>
    <d v="2024-01-26T00:00:00"/>
    <d v="1899-12-30T02:59:00"/>
    <x v="3"/>
    <x v="11"/>
    <s v="Fast Food"/>
    <n v="50"/>
    <n v="4"/>
    <n v="25"/>
    <n v="1418.95"/>
    <n v="120"/>
    <s v="Cash On Delivery"/>
    <s v="Cancelled"/>
    <n v="1"/>
    <s v="Dunzo"/>
    <n v="0"/>
  </r>
  <r>
    <s v="ZOM-116"/>
    <d v="2024-03-03T00:00:00"/>
    <d v="1899-12-30T12:00:00"/>
    <x v="7"/>
    <x v="7"/>
    <s v="Biryani"/>
    <n v="0"/>
    <n v="1.7"/>
    <n v="20"/>
    <n v="0"/>
    <n v="100"/>
    <s v="Credit Card"/>
    <s v="Delivered"/>
    <n v="0"/>
    <s v="Rapido"/>
    <n v="202.53"/>
  </r>
  <r>
    <s v="ZOM-10389"/>
    <d v="2024-01-13T00:00:00"/>
    <d v="1899-12-30T12:00:00"/>
    <x v="1"/>
    <x v="0"/>
    <s v="Fast Food"/>
    <n v="30"/>
    <n v="4.0999999999999996"/>
    <n v="23"/>
    <n v="1071.31"/>
    <n v="50"/>
    <s v="Wallet"/>
    <s v="Delivered"/>
    <n v="7"/>
    <s v="Dunzo"/>
    <n v="58.53"/>
  </r>
  <r>
    <s v="ZOM-10390"/>
    <d v="2024-05-15T00:00:00"/>
    <d v="1899-12-30T12:00:00"/>
    <x v="1"/>
    <x v="7"/>
    <s v="Desserts"/>
    <n v="29"/>
    <n v="1.9"/>
    <n v="58"/>
    <n v="1413.46"/>
    <n v="0.1"/>
    <s v="Wallet"/>
    <s v="Refunded"/>
    <n v="9"/>
    <s v="Rapido"/>
    <n v="-5.46"/>
  </r>
  <r>
    <s v="ZOM-10391"/>
    <d v="2024-05-12T00:00:00"/>
    <d v="1899-12-30T12:00:00"/>
    <x v="1"/>
    <x v="0"/>
    <s v="North Indian"/>
    <n v="40"/>
    <n v="3.1"/>
    <n v="30"/>
    <n v="1059.43"/>
    <n v="0.1"/>
    <s v="Upi"/>
    <s v="Delivered"/>
    <n v="10"/>
    <s v="Zomato Valet"/>
    <n v="-8.4600000000000009"/>
  </r>
  <r>
    <s v="ZOM-10392"/>
    <d v="2024-04-14T00:00:00"/>
    <d v="1899-12-30T01:11:00"/>
    <x v="0"/>
    <x v="3"/>
    <s v="Italian"/>
    <n v="0"/>
    <n v="1.8"/>
    <n v="0"/>
    <n v="2049.44"/>
    <n v="0.5"/>
    <s v="Upi"/>
    <s v="Delivered"/>
    <n v="8"/>
    <s v="Dunzo"/>
    <n v="116.7"/>
  </r>
  <r>
    <s v="ZOM-10393"/>
    <d v="2024-06-07T00:00:00"/>
    <d v="1899-12-30T12:00:00"/>
    <x v="7"/>
    <x v="10"/>
    <s v="Bakery"/>
    <n v="48"/>
    <n v="1.1000000000000001"/>
    <n v="41"/>
    <n v="583.4"/>
    <n v="0.15"/>
    <s v="Net Banking"/>
    <s v="Refunded"/>
    <n v="1"/>
    <s v="In-House"/>
    <n v="-37.08"/>
  </r>
  <r>
    <s v="ZOM-10395"/>
    <d v="2024-05-23T00:00:00"/>
    <d v="1899-12-30T12:00:00"/>
    <x v="9"/>
    <x v="0"/>
    <s v="Street Food"/>
    <n v="60"/>
    <n v="3.9"/>
    <n v="67"/>
    <n v="229.77"/>
    <n v="0.1"/>
    <s v="Upi"/>
    <s v="Pending"/>
    <n v="10"/>
    <s v="In-House"/>
    <n v="109.45"/>
  </r>
  <r>
    <s v="ZOM-10396"/>
    <d v="2024-03-06T00:00:00"/>
    <d v="1899-12-30T12:00:00"/>
    <x v="6"/>
    <x v="10"/>
    <s v="Biryani"/>
    <n v="61"/>
    <n v="4.9000000000000004"/>
    <n v="52"/>
    <n v="465.53"/>
    <n v="150"/>
    <s v="Net Banking"/>
    <s v="Delivered"/>
    <n v="4"/>
    <s v="Shadowfax"/>
    <n v="196.93"/>
  </r>
  <r>
    <s v="ZOM-10399"/>
    <d v="2024-01-02T00:00:00"/>
    <d v="1899-12-30T12:00:00"/>
    <x v="6"/>
    <x v="9"/>
    <s v="South Indian"/>
    <n v="19"/>
    <n v="0"/>
    <n v="48"/>
    <n v="253.25"/>
    <n v="0"/>
    <s v="Wallet"/>
    <s v="Delivered"/>
    <n v="4"/>
    <s v="Rapido"/>
    <n v="126.9"/>
  </r>
  <r>
    <s v="ZOM-10400"/>
    <d v="2024-03-10T00:00:00"/>
    <d v="1899-12-30T12:00:00"/>
    <x v="8"/>
    <x v="1"/>
    <s v="Italian"/>
    <n v="23"/>
    <n v="3"/>
    <n v="75"/>
    <n v="2316.33"/>
    <n v="120"/>
    <s v="Wallet"/>
    <s v="Delivered"/>
    <n v="2"/>
    <s v="Shadowfax"/>
    <n v="-50.57"/>
  </r>
  <r>
    <s v="ZOM-10402"/>
    <d v="2024-03-11T00:00:00"/>
    <d v="1899-12-30T12:00:00"/>
    <x v="5"/>
    <x v="8"/>
    <s v="Mughlai"/>
    <n v="0"/>
    <n v="1.4"/>
    <n v="38"/>
    <n v="363.56"/>
    <n v="100"/>
    <s v="Credit Card"/>
    <s v="Delivered"/>
    <n v="4"/>
    <s v="Rapido"/>
    <n v="90.05"/>
  </r>
  <r>
    <s v="ZOM-10404"/>
    <d v="2024-06-07T00:00:00"/>
    <d v="1899-12-30T12:00:00"/>
    <x v="13"/>
    <x v="1"/>
    <s v="Street Food"/>
    <n v="36"/>
    <n v="4.5"/>
    <n v="31"/>
    <n v="0"/>
    <n v="0.1"/>
    <s v="Net Banking"/>
    <s v="Delivered"/>
    <n v="9"/>
    <s v="Dunzo"/>
    <n v="119.85"/>
  </r>
  <r>
    <s v="ZOM-10405"/>
    <d v="2024-01-17T00:00:00"/>
    <d v="1899-12-30T12:00:00"/>
    <x v="7"/>
    <x v="0"/>
    <s v="Fast Food"/>
    <n v="52"/>
    <n v="3.6"/>
    <n v="0"/>
    <n v="1585.09"/>
    <n v="120"/>
    <s v="Upi"/>
    <s v="Delivered"/>
    <n v="10"/>
    <s v="Rapido"/>
    <n v="157.12"/>
  </r>
  <r>
    <s v="ZOM-10407"/>
    <d v="2024-06-05T00:00:00"/>
    <d v="1899-12-30T12:00:00"/>
    <x v="5"/>
    <x v="5"/>
    <s v="Chinese"/>
    <n v="43"/>
    <n v="1.3"/>
    <n v="56"/>
    <n v="564.11"/>
    <n v="100"/>
    <s v="Credit Card"/>
    <s v="Delivered"/>
    <n v="4"/>
    <s v="Dunzo"/>
    <n v="42.12"/>
  </r>
  <r>
    <s v="ZOM-10410"/>
    <d v="2024-02-11T00:00:00"/>
    <d v="1899-12-30T12:00:00"/>
    <x v="3"/>
    <x v="3"/>
    <s v="Mughlai"/>
    <n v="63"/>
    <n v="2.2999999999999998"/>
    <n v="50"/>
    <n v="1408.41"/>
    <n v="75"/>
    <s v="Debit Card"/>
    <s v="Delivered"/>
    <n v="2"/>
    <s v="In-House"/>
    <n v="-35.08"/>
  </r>
  <r>
    <s v="ZOM-10411"/>
    <d v="2024-03-19T00:00:00"/>
    <d v="1899-12-30T12:42:00"/>
    <x v="9"/>
    <x v="9"/>
    <s v="North Indian"/>
    <n v="45"/>
    <n v="1.7"/>
    <n v="34"/>
    <n v="796.78"/>
    <n v="100"/>
    <s v="Net Banking"/>
    <s v="Cancelled"/>
    <n v="5"/>
    <s v="In-House"/>
    <n v="-37.19"/>
  </r>
  <r>
    <s v="ZOM-10412"/>
    <d v="2024-04-04T00:00:00"/>
    <d v="1899-12-30T12:00:00"/>
    <x v="0"/>
    <x v="9"/>
    <s v="Chinese"/>
    <n v="57"/>
    <n v="2.5"/>
    <n v="0"/>
    <n v="333.85"/>
    <n v="0.15"/>
    <s v="Credit Card"/>
    <s v="Cancelled"/>
    <n v="8"/>
    <s v="Shadowfax"/>
    <n v="78.430000000000007"/>
  </r>
  <r>
    <s v="ZOM-10413"/>
    <d v="2024-09-06T00:00:00"/>
    <d v="1899-12-30T12:00:00"/>
    <x v="25"/>
    <x v="4"/>
    <s v="Mughlai"/>
    <n v="21"/>
    <n v="1.7"/>
    <n v="30"/>
    <n v="1656.1"/>
    <n v="50"/>
    <s v="Credit Card"/>
    <s v="Delivered"/>
    <n v="1"/>
    <s v="Dunzo"/>
    <n v="235.21"/>
  </r>
  <r>
    <s v="ZOM-10414"/>
    <d v="2024-02-13T00:00:00"/>
    <d v="1899-12-30T03:26:00"/>
    <x v="7"/>
    <x v="8"/>
    <s v="Desserts"/>
    <n v="31"/>
    <n v="4.8"/>
    <n v="30"/>
    <n v="1284.07"/>
    <n v="100"/>
    <s v="Credit Card"/>
    <s v="Delivered"/>
    <n v="8"/>
    <s v="Rapido"/>
    <n v="214.78"/>
  </r>
  <r>
    <s v="ZOM-10415"/>
    <d v="2024-01-01T00:00:00"/>
    <d v="1899-12-30T12:00:00"/>
    <x v="8"/>
    <x v="10"/>
    <s v="South Indian"/>
    <n v="53"/>
    <n v="3.1"/>
    <n v="16"/>
    <n v="2053.3200000000002"/>
    <n v="0"/>
    <s v="Debit Card"/>
    <s v="Delivered"/>
    <n v="9"/>
    <s v="Grab"/>
    <n v="211.99"/>
  </r>
  <r>
    <s v="ZOM-10416"/>
    <d v="2024-03-30T00:00:00"/>
    <d v="1899-12-30T12:00:00"/>
    <x v="2"/>
    <x v="6"/>
    <s v="North Indian"/>
    <n v="59"/>
    <n v="3.3"/>
    <n v="56"/>
    <n v="380.56"/>
    <n v="50"/>
    <s v="Credit Card"/>
    <s v="Unknown"/>
    <n v="10"/>
    <s v="Shadowfax"/>
    <n v="113.67"/>
  </r>
  <r>
    <s v="ZOM-10418"/>
    <d v="2024-07-13T00:00:00"/>
    <d v="1899-12-30T12:00:00"/>
    <x v="5"/>
    <x v="6"/>
    <s v="Fast Food"/>
    <n v="24"/>
    <n v="4.0999999999999996"/>
    <n v="20"/>
    <n v="796.99"/>
    <n v="150"/>
    <s v="Net Banking"/>
    <s v="Refunded"/>
    <n v="3"/>
    <s v="Zomato Valet"/>
    <n v="151.21"/>
  </r>
  <r>
    <s v="ZOM-10421"/>
    <d v="2024-04-03T00:00:00"/>
    <d v="1899-12-30T12:00:00"/>
    <x v="0"/>
    <x v="0"/>
    <s v="Street Food"/>
    <n v="44"/>
    <n v="1.4"/>
    <n v="26"/>
    <n v="1283.78"/>
    <n v="0"/>
    <s v="Upi"/>
    <s v="Delivered"/>
    <n v="2"/>
    <s v="Dunzo"/>
    <n v="0"/>
  </r>
  <r>
    <s v="ZOM-10423"/>
    <d v="2024-04-21T00:00:00"/>
    <d v="1899-12-30T12:00:00"/>
    <x v="9"/>
    <x v="11"/>
    <s v="Biryani"/>
    <n v="55"/>
    <n v="0"/>
    <n v="22"/>
    <n v="240.37"/>
    <n v="0"/>
    <s v="Unknown"/>
    <s v="Refunded"/>
    <n v="2"/>
    <s v="In-House"/>
    <n v="153.47999999999999"/>
  </r>
  <r>
    <s v="ZOM-10430"/>
    <d v="2024-03-26T00:00:00"/>
    <d v="1899-12-30T12:00:00"/>
    <x v="7"/>
    <x v="9"/>
    <s v="Chinese"/>
    <n v="22"/>
    <n v="4"/>
    <n v="23"/>
    <n v="1958.31"/>
    <n v="0.6"/>
    <s v="Net Banking"/>
    <s v="Delivered"/>
    <n v="2"/>
    <s v="Dunzo"/>
    <n v="90.6"/>
  </r>
  <r>
    <s v="ZOM-10431"/>
    <d v="2024-06-08T00:00:00"/>
    <d v="1899-12-30T12:00:00"/>
    <x v="11"/>
    <x v="10"/>
    <s v="Italian"/>
    <n v="54"/>
    <n v="4.5999999999999996"/>
    <n v="36"/>
    <n v="1520.28"/>
    <n v="0"/>
    <s v="Upi"/>
    <s v="Cancelled"/>
    <n v="6"/>
    <s v="Shadowfax"/>
    <n v="149.27000000000001"/>
  </r>
  <r>
    <s v="ZOM-10432"/>
    <d v="2024-06-23T00:00:00"/>
    <d v="1899-12-30T12:00:00"/>
    <x v="9"/>
    <x v="3"/>
    <s v="South Indian"/>
    <n v="49"/>
    <n v="0"/>
    <n v="0"/>
    <n v="1681.43"/>
    <n v="75"/>
    <s v="Net Banking"/>
    <s v="Delivered"/>
    <n v="9"/>
    <s v="Rapido"/>
    <n v="-63.5"/>
  </r>
  <r>
    <s v="ZOM-10435"/>
    <d v="2024-03-10T00:00:00"/>
    <d v="1899-12-30T12:00:00"/>
    <x v="2"/>
    <x v="9"/>
    <s v="Chinese"/>
    <n v="32"/>
    <n v="3.8"/>
    <n v="21"/>
    <n v="1217.67"/>
    <n v="50"/>
    <s v="Debit Card"/>
    <s v="Cancelled"/>
    <n v="9"/>
    <s v="Dunzo"/>
    <n v="168.3"/>
  </r>
  <r>
    <s v="ZOM-10437"/>
    <d v="2024-03-04T00:00:00"/>
    <d v="1899-12-30T12:00:00"/>
    <x v="2"/>
    <x v="6"/>
    <s v="Biryani"/>
    <n v="18"/>
    <n v="0"/>
    <n v="28"/>
    <n v="1344.99"/>
    <n v="0.5"/>
    <s v="Net Banking"/>
    <s v="Refunded"/>
    <n v="6"/>
    <s v="Dunzo"/>
    <n v="95.47"/>
  </r>
  <r>
    <s v="ZOM-10438"/>
    <d v="2024-05-01T00:00:00"/>
    <d v="1899-12-30T08:34:00"/>
    <x v="16"/>
    <x v="3"/>
    <s v="Mughlai"/>
    <n v="42"/>
    <n v="3.3"/>
    <n v="80"/>
    <n v="1967.86"/>
    <n v="120"/>
    <s v="Upi"/>
    <s v="Cancelled"/>
    <n v="3"/>
    <s v="Dunzo"/>
    <n v="-50.45"/>
  </r>
  <r>
    <s v="ZOM-10439"/>
    <d v="2024-04-07T00:00:00"/>
    <d v="1899-12-30T12:00:00"/>
    <x v="13"/>
    <x v="4"/>
    <s v="Fast Food"/>
    <n v="43"/>
    <n v="1.6"/>
    <n v="41"/>
    <n v="2460.5"/>
    <n v="0"/>
    <s v="Wallet"/>
    <s v="Delivered"/>
    <n v="3"/>
    <s v="Unknown"/>
    <n v="148.25"/>
  </r>
  <r>
    <s v="ZOM-10440"/>
    <d v="2024-01-08T00:00:00"/>
    <d v="1899-12-30T12:00:00"/>
    <x v="9"/>
    <x v="7"/>
    <s v="Chinese"/>
    <n v="33"/>
    <n v="2.2000000000000002"/>
    <n v="46"/>
    <n v="1645.94"/>
    <n v="0"/>
    <s v="Cash On Delivery"/>
    <s v="Delivered"/>
    <n v="10"/>
    <s v="Dunzo"/>
    <n v="-68.489999999999995"/>
  </r>
  <r>
    <s v="ZOM-10444"/>
    <d v="2024-03-06T00:00:00"/>
    <d v="1899-12-30T12:00:00"/>
    <x v="9"/>
    <x v="5"/>
    <s v="South Indian"/>
    <n v="20"/>
    <n v="4.0999999999999996"/>
    <n v="69"/>
    <n v="1495.59"/>
    <n v="100"/>
    <s v="Upi"/>
    <s v="Delivered"/>
    <n v="6"/>
    <s v="Grab"/>
    <n v="-23.35"/>
  </r>
  <r>
    <s v="ZOM-10445"/>
    <d v="2024-02-15T00:00:00"/>
    <d v="1899-12-30T12:00:00"/>
    <x v="3"/>
    <x v="0"/>
    <s v="Street Food"/>
    <n v="26"/>
    <n v="1.3"/>
    <n v="62"/>
    <n v="134.87"/>
    <n v="120"/>
    <s v="Wallet"/>
    <s v="Cancelled"/>
    <n v="2"/>
    <s v="In-House"/>
    <n v="-53.31"/>
  </r>
  <r>
    <s v="ZOM-10446"/>
    <d v="2024-04-22T00:00:00"/>
    <d v="1899-12-30T12:00:00"/>
    <x v="13"/>
    <x v="7"/>
    <s v="Mughlai"/>
    <n v="50"/>
    <n v="2.2000000000000002"/>
    <n v="52"/>
    <n v="660.27"/>
    <n v="120"/>
    <s v="Cash On Delivery"/>
    <s v="Delivered"/>
    <n v="8"/>
    <s v="Zomato Valet"/>
    <n v="236.58"/>
  </r>
  <r>
    <s v="ZOM-10447"/>
    <d v="2024-05-01T00:00:00"/>
    <d v="1899-12-30T12:00:00"/>
    <x v="3"/>
    <x v="5"/>
    <s v="Bakery"/>
    <n v="31"/>
    <n v="4.0999999999999996"/>
    <n v="71"/>
    <n v="729.36"/>
    <n v="75"/>
    <s v="Credit Card"/>
    <s v="Delivered"/>
    <n v="10"/>
    <s v="Rapido"/>
    <n v="2.95"/>
  </r>
  <r>
    <s v="ZOM-10449"/>
    <d v="2024-05-09T00:00:00"/>
    <d v="1899-12-30T12:00:00"/>
    <x v="12"/>
    <x v="3"/>
    <s v="Italian"/>
    <n v="0"/>
    <n v="2.5"/>
    <n v="67"/>
    <n v="2309.4"/>
    <n v="150"/>
    <s v="Credit Card"/>
    <s v="Cancelled"/>
    <n v="10"/>
    <s v="Dunzo"/>
    <n v="-27.89"/>
  </r>
  <r>
    <s v="ZOM-10450"/>
    <d v="2024-01-21T00:00:00"/>
    <d v="1899-12-30T12:00:00"/>
    <x v="5"/>
    <x v="10"/>
    <s v="North Indian, Mughlai"/>
    <n v="46"/>
    <n v="4.4000000000000004"/>
    <n v="21"/>
    <n v="2335.19"/>
    <n v="75"/>
    <s v="Unknown"/>
    <s v="Cancelled"/>
    <n v="7"/>
    <s v="Dunzo"/>
    <n v="240.05"/>
  </r>
  <r>
    <s v="Unkown"/>
    <d v="2024-06-25T00:00:00"/>
    <d v="1899-12-30T12:00:00"/>
    <x v="1"/>
    <x v="8"/>
    <s v="South Indian"/>
    <n v="59"/>
    <n v="3.5"/>
    <n v="60"/>
    <n v="943.74"/>
    <n v="150"/>
    <s v="Net Banking"/>
    <s v="Delivered"/>
    <n v="10"/>
    <s v="Unknown"/>
    <n v="-73.66"/>
  </r>
  <r>
    <s v="ZOM-10452"/>
    <d v="2024-05-20T00:00:00"/>
    <d v="1899-12-30T12:00:00"/>
    <x v="25"/>
    <x v="6"/>
    <s v="Fast Food"/>
    <n v="36"/>
    <n v="3.8"/>
    <n v="43"/>
    <n v="168.82"/>
    <n v="50"/>
    <s v="Debit Card"/>
    <s v="Delivered"/>
    <n v="5"/>
    <s v="Shadowfax"/>
    <n v="-45.1"/>
  </r>
  <r>
    <s v="ZOM-10453"/>
    <d v="2024-02-17T00:00:00"/>
    <d v="1899-12-30T12:00:00"/>
    <x v="2"/>
    <x v="12"/>
    <s v="North Indian"/>
    <n v="0"/>
    <n v="3.5"/>
    <n v="67"/>
    <n v="1334.84"/>
    <n v="0.1"/>
    <s v="Upi"/>
    <s v="Delivered"/>
    <n v="8"/>
    <s v="Dunzo"/>
    <n v="103.64"/>
  </r>
  <r>
    <s v="ZOM-10454"/>
    <d v="2024-02-17T00:00:00"/>
    <d v="1899-12-30T12:00:00"/>
    <x v="2"/>
    <x v="6"/>
    <s v="North Indian"/>
    <n v="22"/>
    <n v="4.9000000000000004"/>
    <n v="31"/>
    <n v="122.61"/>
    <n v="0"/>
    <s v="Debit Card"/>
    <s v="Delivered"/>
    <n v="2"/>
    <s v="In-House"/>
    <n v="-23.6"/>
  </r>
  <r>
    <s v="ZOM-10455"/>
    <d v="2024-05-13T00:00:00"/>
    <d v="1899-12-30T12:00:00"/>
    <x v="12"/>
    <x v="3"/>
    <s v="Street Food"/>
    <n v="64"/>
    <n v="2.2999999999999998"/>
    <n v="75"/>
    <n v="518.6"/>
    <n v="0.6"/>
    <s v="Upi"/>
    <s v="Cancelled"/>
    <n v="4"/>
    <s v="Zomato Valet"/>
    <n v="231.06"/>
  </r>
  <r>
    <s v="ZOM-10456"/>
    <d v="2024-10-05T00:00:00"/>
    <d v="1899-12-30T12:00:00"/>
    <x v="1"/>
    <x v="1"/>
    <s v="Street Food"/>
    <n v="32"/>
    <n v="4.8"/>
    <n v="20"/>
    <n v="780.27"/>
    <n v="0.15"/>
    <s v="Wallet"/>
    <s v="Delivered"/>
    <n v="10"/>
    <s v="Rapido"/>
    <n v="142.13"/>
  </r>
  <r>
    <s v="ZOM-10457"/>
    <d v="2024-06-11T00:00:00"/>
    <d v="1899-12-30T12:00:00"/>
    <x v="1"/>
    <x v="1"/>
    <s v="South Indian"/>
    <n v="26"/>
    <n v="2.7"/>
    <n v="67"/>
    <n v="723.25"/>
    <n v="0"/>
    <s v="Debit Card"/>
    <s v="Delivered"/>
    <n v="2"/>
    <s v="Rapido"/>
    <n v="0"/>
  </r>
  <r>
    <s v="ZOM-10458"/>
    <d v="2024-04-16T00:00:00"/>
    <d v="1899-12-30T12:00:00"/>
    <x v="11"/>
    <x v="10"/>
    <s v="Street Food"/>
    <n v="65"/>
    <n v="2.1"/>
    <n v="65"/>
    <n v="506.04"/>
    <n v="50"/>
    <s v="Upi"/>
    <s v="Delivered"/>
    <n v="7"/>
    <s v="Grab"/>
    <n v="214.01"/>
  </r>
  <r>
    <s v="ZOM-10460"/>
    <d v="2024-02-08T00:00:00"/>
    <d v="1899-12-30T03:27:00"/>
    <x v="3"/>
    <x v="10"/>
    <s v="Italian"/>
    <n v="23"/>
    <n v="3.3"/>
    <n v="43"/>
    <n v="598.41"/>
    <n v="0.15"/>
    <s v="Wallet"/>
    <s v="Cancelled"/>
    <n v="4"/>
    <s v="Shadowfax"/>
    <n v="0"/>
  </r>
  <r>
    <s v="ZOM-10461"/>
    <d v="2024-06-29T00:00:00"/>
    <d v="1899-12-30T12:00:00"/>
    <x v="3"/>
    <x v="5"/>
    <s v="Bakery"/>
    <n v="63"/>
    <n v="4.2"/>
    <n v="57"/>
    <n v="2373.83"/>
    <n v="0.2"/>
    <s v="Net Banking"/>
    <s v="Delivered"/>
    <n v="7"/>
    <s v="Shadowfax"/>
    <n v="-21.56"/>
  </r>
  <r>
    <s v="ZOM-10463"/>
    <d v="2024-03-20T00:00:00"/>
    <d v="1899-12-30T07:17:00"/>
    <x v="10"/>
    <x v="12"/>
    <s v="Street Food"/>
    <n v="40"/>
    <n v="1.6"/>
    <n v="38"/>
    <n v="1857.14"/>
    <n v="120"/>
    <s v="Debit Card"/>
    <s v="Refunded"/>
    <n v="9"/>
    <s v="Grab"/>
    <n v="134.66"/>
  </r>
  <r>
    <s v="ZOM-10464"/>
    <d v="2024-06-13T00:00:00"/>
    <d v="1899-12-30T12:00:00"/>
    <x v="12"/>
    <x v="8"/>
    <s v="Fast Food"/>
    <n v="43"/>
    <n v="2.6"/>
    <n v="15"/>
    <n v="385.31"/>
    <n v="0"/>
    <s v="Wallet"/>
    <s v="Delivered"/>
    <n v="9"/>
    <s v="In-House"/>
    <n v="223.86"/>
  </r>
  <r>
    <s v="ZOM-10465"/>
    <d v="2024-01-17T00:00:00"/>
    <d v="1899-12-30T12:00:00"/>
    <x v="8"/>
    <x v="5"/>
    <s v="Chinese"/>
    <n v="28"/>
    <n v="1.8"/>
    <n v="54"/>
    <n v="943.15"/>
    <n v="100"/>
    <s v="Credit Card"/>
    <s v="Cancelled"/>
    <n v="4"/>
    <s v="Dunzo"/>
    <n v="123.07"/>
  </r>
  <r>
    <s v="ZOM-10466"/>
    <d v="2024-03-01T00:00:00"/>
    <d v="1899-12-30T12:00:00"/>
    <x v="11"/>
    <x v="8"/>
    <s v="Mughlai"/>
    <n v="40"/>
    <n v="1.9"/>
    <n v="79"/>
    <n v="0"/>
    <n v="0.1"/>
    <s v="Net Banking"/>
    <s v="Cancelled"/>
    <n v="9"/>
    <s v="Shadowfax"/>
    <n v="0"/>
  </r>
  <r>
    <s v="ZOM-10467"/>
    <d v="2024-03-31T00:00:00"/>
    <d v="1899-12-30T12:00:00"/>
    <x v="3"/>
    <x v="4"/>
    <s v="Italian"/>
    <n v="43"/>
    <n v="2.2999999999999998"/>
    <n v="31"/>
    <n v="465.45"/>
    <n v="150"/>
    <s v="Credit Card"/>
    <s v="Delivered"/>
    <n v="3"/>
    <s v="Dunzo"/>
    <n v="164.39"/>
  </r>
  <r>
    <s v="ZOM-10468"/>
    <d v="2024-06-10T00:00:00"/>
    <d v="1899-12-30T12:00:00"/>
    <x v="7"/>
    <x v="3"/>
    <s v="Chinese"/>
    <n v="33"/>
    <n v="3.6"/>
    <n v="49"/>
    <n v="1064.43"/>
    <n v="0.15"/>
    <s v="Upi"/>
    <s v="Refunded"/>
    <n v="1"/>
    <s v="In-House"/>
    <n v="-22.41"/>
  </r>
  <r>
    <s v="ZOM-10469"/>
    <d v="2024-12-04T00:00:00"/>
    <d v="1899-12-30T12:00:00"/>
    <x v="2"/>
    <x v="1"/>
    <s v="Fast Food"/>
    <n v="64"/>
    <n v="1.3"/>
    <n v="58"/>
    <n v="905.28"/>
    <n v="150"/>
    <s v="Upi"/>
    <s v="Delivered"/>
    <n v="3"/>
    <s v="Zomato Valet"/>
    <n v="-34.76"/>
  </r>
  <r>
    <s v="ZOM-10470"/>
    <d v="2024-01-04T00:00:00"/>
    <d v="1899-12-30T02:25:00"/>
    <x v="11"/>
    <x v="9"/>
    <s v="Italian"/>
    <n v="47"/>
    <n v="3.3"/>
    <n v="42"/>
    <n v="296.58"/>
    <n v="50"/>
    <s v="Upi"/>
    <s v="Delivered"/>
    <n v="0"/>
    <s v="Dunzo"/>
    <n v="96.47"/>
  </r>
  <r>
    <s v="ZOM-10471"/>
    <d v="2024-06-12T00:00:00"/>
    <d v="1899-12-30T12:00:00"/>
    <x v="11"/>
    <x v="10"/>
    <s v="Not Known"/>
    <n v="64"/>
    <n v="3.5"/>
    <n v="22"/>
    <n v="464.46"/>
    <n v="75"/>
    <s v="Upi"/>
    <s v="Refunded"/>
    <n v="8"/>
    <s v="Zomato Valet"/>
    <n v="58.89"/>
  </r>
  <r>
    <s v="ZOM-10474"/>
    <d v="2024-02-27T00:00:00"/>
    <d v="1899-12-30T12:00:00"/>
    <x v="6"/>
    <x v="8"/>
    <s v="Street Food"/>
    <n v="54"/>
    <n v="3.1"/>
    <n v="49"/>
    <n v="357.43"/>
    <n v="120"/>
    <s v="Cash On Delivery"/>
    <s v="Delivered"/>
    <n v="9"/>
    <s v="Dunzo"/>
    <n v="178.84"/>
  </r>
  <r>
    <s v="ZOM-10477"/>
    <d v="2024-02-06T00:00:00"/>
    <d v="1899-12-30T12:00:00"/>
    <x v="6"/>
    <x v="9"/>
    <s v="Biryani"/>
    <n v="38"/>
    <n v="0"/>
    <n v="65"/>
    <n v="2003.47"/>
    <n v="0"/>
    <s v="Credit Card"/>
    <s v="Delivered"/>
    <n v="3"/>
    <s v="Shadowfax"/>
    <n v="-29.41"/>
  </r>
  <r>
    <s v="Unkown"/>
    <d v="2024-05-01T00:00:00"/>
    <d v="1899-12-30T12:00:00"/>
    <x v="9"/>
    <x v="6"/>
    <s v="South Indian"/>
    <n v="18"/>
    <n v="2.7"/>
    <n v="59"/>
    <n v="1907.15"/>
    <n v="0"/>
    <s v="Credit Card"/>
    <s v="Cancelled"/>
    <n v="5"/>
    <s v="Grab"/>
    <n v="9.3800000000000008"/>
  </r>
  <r>
    <s v="ZOM-10480"/>
    <d v="2024-06-22T00:00:00"/>
    <d v="1899-12-30T04:00:00"/>
    <x v="7"/>
    <x v="0"/>
    <s v="Italian"/>
    <n v="64"/>
    <n v="4.8"/>
    <n v="39"/>
    <n v="1194.26"/>
    <n v="0"/>
    <s v="Credit Card"/>
    <s v="Delivered"/>
    <n v="6"/>
    <s v="In-House"/>
    <n v="0"/>
  </r>
  <r>
    <s v="ZOM-10481"/>
    <d v="2024-01-19T00:00:00"/>
    <d v="1899-12-30T12:00:00"/>
    <x v="8"/>
    <x v="6"/>
    <s v="Bakery"/>
    <n v="25"/>
    <n v="1.7"/>
    <n v="46"/>
    <n v="2369.92"/>
    <n v="0.6"/>
    <s v="Cash On Delivery"/>
    <s v="Refunded"/>
    <n v="6"/>
    <s v="In-House"/>
    <n v="133.19999999999999"/>
  </r>
  <r>
    <s v="ZOM-10482"/>
    <d v="2024-07-07T00:00:00"/>
    <d v="1899-12-30T12:03:00"/>
    <x v="5"/>
    <x v="0"/>
    <s v="Bakery"/>
    <n v="0"/>
    <n v="4.4000000000000004"/>
    <n v="63"/>
    <n v="1942.97"/>
    <n v="0"/>
    <s v="Debit Card"/>
    <s v="Delivered"/>
    <n v="4"/>
    <s v="Shadowfax"/>
    <n v="24.46"/>
  </r>
  <r>
    <s v="ZOM-10483"/>
    <d v="2024-05-01T00:00:00"/>
    <d v="1899-12-30T10:53:00"/>
    <x v="23"/>
    <x v="9"/>
    <s v="Bakery"/>
    <n v="27"/>
    <n v="1.5"/>
    <n v="67"/>
    <n v="639.71"/>
    <n v="0.6"/>
    <s v="Cash On Delivery"/>
    <s v="Cancelled"/>
    <n v="5"/>
    <s v="In-House"/>
    <n v="62.38"/>
  </r>
  <r>
    <s v="ZOM-10484"/>
    <d v="2024-01-07T00:00:00"/>
    <d v="1899-12-30T10:03:00"/>
    <x v="7"/>
    <x v="0"/>
    <s v="Chinese"/>
    <n v="27"/>
    <n v="4.3"/>
    <n v="62"/>
    <n v="1903.06"/>
    <n v="0"/>
    <s v="Wallet"/>
    <s v="Delivered"/>
    <n v="1"/>
    <s v="Zomato Valet"/>
    <n v="27.82"/>
  </r>
  <r>
    <s v="ZOM-10485"/>
    <d v="2024-03-19T00:00:00"/>
    <d v="1899-12-30T12:00:00"/>
    <x v="12"/>
    <x v="7"/>
    <s v="Mughlai"/>
    <n v="38"/>
    <n v="4.8"/>
    <n v="51"/>
    <n v="2370.84"/>
    <n v="0.1"/>
    <s v="Net Banking"/>
    <s v="Cancelled"/>
    <n v="3"/>
    <s v="Shadowfax"/>
    <n v="20.86"/>
  </r>
  <r>
    <s v="ZOM-10486"/>
    <d v="2024-05-16T00:00:00"/>
    <d v="1899-12-30T07:24:00"/>
    <x v="0"/>
    <x v="9"/>
    <s v="Italian"/>
    <n v="51"/>
    <n v="1.6"/>
    <n v="29"/>
    <n v="0"/>
    <n v="0.5"/>
    <s v="Cash On Delivery"/>
    <s v="Delivered"/>
    <n v="3"/>
    <s v="Rapido"/>
    <n v="-17.78"/>
  </r>
  <r>
    <s v="ZOM-10487"/>
    <d v="2024-02-15T00:00:00"/>
    <d v="1899-12-30T12:00:00"/>
    <x v="18"/>
    <x v="3"/>
    <s v="Bakery"/>
    <n v="46"/>
    <n v="3.8"/>
    <n v="44"/>
    <n v="1919.96"/>
    <n v="50"/>
    <s v="Net Banking"/>
    <s v="Delivered"/>
    <n v="4"/>
    <s v="Shadowfax"/>
    <n v="166.5"/>
  </r>
  <r>
    <s v="ZOM-10488"/>
    <d v="2024-05-18T00:00:00"/>
    <d v="1899-12-30T12:00:00"/>
    <x v="8"/>
    <x v="0"/>
    <s v="Fast Food"/>
    <n v="52"/>
    <n v="3.9"/>
    <n v="72"/>
    <n v="564.66999999999996"/>
    <n v="0"/>
    <s v="Net Banking"/>
    <s v="Delivered"/>
    <n v="2"/>
    <s v="Unknown"/>
    <n v="169.32"/>
  </r>
  <r>
    <s v="ZOM-10489"/>
    <d v="2024-11-06T00:00:00"/>
    <d v="1899-12-30T12:00:00"/>
    <x v="11"/>
    <x v="10"/>
    <s v="Street Food"/>
    <n v="52"/>
    <n v="3.2"/>
    <n v="78"/>
    <n v="544.1"/>
    <n v="150"/>
    <s v="Credit Card"/>
    <s v="Delivered"/>
    <n v="6"/>
    <s v="Rapido"/>
    <n v="67.91"/>
  </r>
  <r>
    <s v="ZOM-10490"/>
    <d v="2024-11-02T00:00:00"/>
    <d v="1899-12-30T12:00:00"/>
    <x v="9"/>
    <x v="5"/>
    <s v="Mughlai"/>
    <n v="55"/>
    <n v="2.2000000000000002"/>
    <n v="65"/>
    <n v="1272.95"/>
    <n v="120"/>
    <s v="Cash On Delivery"/>
    <s v="Refunded"/>
    <n v="5"/>
    <s v="Zomato Valet"/>
    <n v="120.73"/>
  </r>
  <r>
    <s v="ZOM-10491"/>
    <d v="2024-03-03T00:00:00"/>
    <d v="1899-12-30T12:00:00"/>
    <x v="3"/>
    <x v="8"/>
    <s v="Not Known"/>
    <n v="18"/>
    <n v="1.7"/>
    <n v="65"/>
    <n v="2204.5"/>
    <n v="0.1"/>
    <s v="Credit Card"/>
    <s v="Delivered"/>
    <n v="9"/>
    <s v="Shadowfax"/>
    <n v="38.33"/>
  </r>
  <r>
    <s v="ZOM-10495"/>
    <d v="2024-01-15T00:00:00"/>
    <d v="1899-12-30T12:06:00"/>
    <x v="6"/>
    <x v="1"/>
    <s v="Mughlai"/>
    <n v="64"/>
    <n v="2.4"/>
    <n v="56"/>
    <n v="1438.86"/>
    <n v="75"/>
    <s v="Credit Card"/>
    <s v="Refunded"/>
    <n v="8"/>
    <s v="Dunzo"/>
    <n v="-61.94"/>
  </r>
  <r>
    <s v="ZOM-10496"/>
    <d v="2024-02-04T00:00:00"/>
    <d v="1899-12-30T12:00:00"/>
    <x v="1"/>
    <x v="6"/>
    <s v="Street Food"/>
    <n v="47"/>
    <n v="3.3"/>
    <n v="73"/>
    <n v="594.66"/>
    <n v="50"/>
    <s v="Upi"/>
    <s v="Cancelled"/>
    <n v="2"/>
    <s v="In-House"/>
    <n v="91.98"/>
  </r>
  <r>
    <s v="ZOM-10497"/>
    <d v="2024-11-05T00:00:00"/>
    <d v="1899-12-30T12:00:00"/>
    <x v="13"/>
    <x v="8"/>
    <s v="Street Food"/>
    <n v="46"/>
    <n v="2.6"/>
    <n v="42"/>
    <n v="2325.27"/>
    <n v="120"/>
    <s v="Upi"/>
    <s v="Delivered"/>
    <n v="7"/>
    <s v="Grab"/>
    <n v="164.96"/>
  </r>
  <r>
    <s v="ZOM-10498"/>
    <d v="2024-01-17T00:00:00"/>
    <d v="1899-12-30T12:00:00"/>
    <x v="6"/>
    <x v="7"/>
    <s v="Bakery"/>
    <n v="52"/>
    <n v="2.4"/>
    <n v="16"/>
    <n v="1384.47"/>
    <n v="150"/>
    <s v="Debit Card"/>
    <s v="Delivered"/>
    <n v="5"/>
    <s v="Grab"/>
    <n v="176.24"/>
  </r>
  <r>
    <s v="ZOM-10499"/>
    <d v="2024-06-20T00:00:00"/>
    <d v="1899-12-30T08:59:00"/>
    <x v="9"/>
    <x v="1"/>
    <s v="Street Food"/>
    <n v="29"/>
    <n v="2.8"/>
    <n v="24"/>
    <n v="2071.6"/>
    <n v="150"/>
    <s v="Net Banking"/>
    <s v="Delivered"/>
    <n v="5"/>
    <s v="Dunzo"/>
    <n v="182.29"/>
  </r>
  <r>
    <s v="ZOM-10500"/>
    <d v="2024-05-13T00:00:00"/>
    <d v="1899-12-30T12:00:00"/>
    <x v="0"/>
    <x v="8"/>
    <s v="South Indian"/>
    <n v="23"/>
    <n v="4.7"/>
    <n v="17"/>
    <n v="1876.17"/>
    <n v="150"/>
    <s v="Net Banking"/>
    <s v="Delivered"/>
    <n v="7"/>
    <s v="Grab"/>
    <n v="18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98EB85-8791-4573-AFE8-DF0985D196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ity">
  <location ref="E5:F20" firstHeaderRow="1" firstDataRow="1" firstDataCol="1"/>
  <pivotFields count="16">
    <pivotField showAll="0"/>
    <pivotField numFmtId="165" showAll="0"/>
    <pivotField numFmtId="164" showAll="0"/>
    <pivotField showAll="0">
      <items count="27">
        <item x="23"/>
        <item x="21"/>
        <item x="22"/>
        <item x="14"/>
        <item x="17"/>
        <item x="16"/>
        <item x="25"/>
        <item x="18"/>
        <item x="4"/>
        <item x="13"/>
        <item x="19"/>
        <item x="2"/>
        <item x="10"/>
        <item x="1"/>
        <item x="15"/>
        <item x="9"/>
        <item x="20"/>
        <item x="5"/>
        <item x="11"/>
        <item x="0"/>
        <item x="7"/>
        <item x="12"/>
        <item x="8"/>
        <item x="6"/>
        <item x="24"/>
        <item x="3"/>
        <item t="default"/>
      </items>
    </pivotField>
    <pivotField axis="axisRow" showAll="0">
      <items count="16">
        <item x="1"/>
        <item x="4"/>
        <item m="1" x="14"/>
        <item x="2"/>
        <item x="12"/>
        <item x="13"/>
        <item x="3"/>
        <item x="0"/>
        <item x="6"/>
        <item x="8"/>
        <item x="5"/>
        <item x="10"/>
        <item x="9"/>
        <item x="11"/>
        <item x="7"/>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5">
    <i>
      <x/>
    </i>
    <i>
      <x v="1"/>
    </i>
    <i>
      <x v="3"/>
    </i>
    <i>
      <x v="4"/>
    </i>
    <i>
      <x v="5"/>
    </i>
    <i>
      <x v="6"/>
    </i>
    <i>
      <x v="7"/>
    </i>
    <i>
      <x v="8"/>
    </i>
    <i>
      <x v="9"/>
    </i>
    <i>
      <x v="10"/>
    </i>
    <i>
      <x v="11"/>
    </i>
    <i>
      <x v="12"/>
    </i>
    <i>
      <x v="13"/>
    </i>
    <i>
      <x v="14"/>
    </i>
    <i t="grand">
      <x/>
    </i>
  </rowItems>
  <colItems count="1">
    <i/>
  </colItems>
  <dataFields count="1">
    <dataField name="Average Delivery_Time" fld="8" subtotal="average" baseField="4" baseItem="0" numFmtId="2"/>
  </dataFields>
  <formats count="2">
    <format dxfId="1">
      <pivotArea outline="0" collapsedLevelsAreSubtotals="1" fieldPosition="0"/>
    </format>
    <format dxfId="0">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9160AD-869D-43B1-A945-286F716123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B5:C20" firstHeaderRow="1" firstDataRow="1" firstDataCol="1"/>
  <pivotFields count="16">
    <pivotField showAll="0"/>
    <pivotField numFmtId="165" showAll="0"/>
    <pivotField numFmtId="164" showAll="0"/>
    <pivotField showAll="0">
      <items count="27">
        <item x="23"/>
        <item x="21"/>
        <item x="22"/>
        <item x="14"/>
        <item x="17"/>
        <item x="16"/>
        <item x="25"/>
        <item x="18"/>
        <item x="4"/>
        <item x="13"/>
        <item x="19"/>
        <item x="2"/>
        <item x="10"/>
        <item x="1"/>
        <item x="15"/>
        <item x="9"/>
        <item x="20"/>
        <item x="5"/>
        <item x="11"/>
        <item x="0"/>
        <item x="7"/>
        <item x="12"/>
        <item x="8"/>
        <item x="6"/>
        <item x="24"/>
        <item x="3"/>
        <item t="default"/>
      </items>
    </pivotField>
    <pivotField axis="axisRow" showAll="0">
      <items count="16">
        <item x="1"/>
        <item x="4"/>
        <item m="1" x="14"/>
        <item x="2"/>
        <item x="12"/>
        <item x="13"/>
        <item x="3"/>
        <item x="0"/>
        <item x="6"/>
        <item x="8"/>
        <item x="5"/>
        <item x="10"/>
        <item x="9"/>
        <item x="1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15">
    <i>
      <x/>
    </i>
    <i>
      <x v="1"/>
    </i>
    <i>
      <x v="3"/>
    </i>
    <i>
      <x v="4"/>
    </i>
    <i>
      <x v="5"/>
    </i>
    <i>
      <x v="6"/>
    </i>
    <i>
      <x v="7"/>
    </i>
    <i>
      <x v="8"/>
    </i>
    <i>
      <x v="9"/>
    </i>
    <i>
      <x v="10"/>
    </i>
    <i>
      <x v="11"/>
    </i>
    <i>
      <x v="12"/>
    </i>
    <i>
      <x v="13"/>
    </i>
    <i>
      <x v="14"/>
    </i>
    <i t="grand">
      <x/>
    </i>
  </rowItems>
  <colItems count="1">
    <i/>
  </colItems>
  <dataFields count="1">
    <dataField name="Sum of Profit" fld="15"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8CB341-CC6F-414F-ABE6-D681915D82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5:L32" firstHeaderRow="1" firstDataRow="1" firstDataCol="1"/>
  <pivotFields count="16">
    <pivotField showAll="0"/>
    <pivotField numFmtId="165" showAll="0"/>
    <pivotField numFmtId="164" showAll="0"/>
    <pivotField axis="axisRow" showAll="0">
      <items count="27">
        <item x="23"/>
        <item x="21"/>
        <item x="22"/>
        <item x="14"/>
        <item x="17"/>
        <item x="16"/>
        <item x="25"/>
        <item x="18"/>
        <item x="4"/>
        <item x="13"/>
        <item x="19"/>
        <item x="2"/>
        <item x="10"/>
        <item x="1"/>
        <item x="15"/>
        <item x="9"/>
        <item x="20"/>
        <item x="5"/>
        <item x="11"/>
        <item x="0"/>
        <item x="7"/>
        <item x="12"/>
        <item x="8"/>
        <item x="6"/>
        <item x="24"/>
        <item x="3"/>
        <item t="default"/>
      </items>
    </pivotField>
    <pivotField showAll="0">
      <items count="16">
        <item x="1"/>
        <item x="4"/>
        <item m="1" x="14"/>
        <item x="2"/>
        <item x="12"/>
        <item x="13"/>
        <item x="3"/>
        <item x="0"/>
        <item x="6"/>
        <item x="8"/>
        <item x="5"/>
        <item x="10"/>
        <item x="9"/>
        <item x="1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Profit" fld="15" baseField="0" baseItem="0"/>
  </dataFields>
  <chartFormats count="2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1" format="6">
      <pivotArea type="data" outline="0" fieldPosition="0">
        <references count="2">
          <reference field="4294967294" count="1" selected="0">
            <x v="0"/>
          </reference>
          <reference field="3" count="1" selected="0">
            <x v="4"/>
          </reference>
        </references>
      </pivotArea>
    </chartFormat>
    <chartFormat chart="1" format="7">
      <pivotArea type="data" outline="0" fieldPosition="0">
        <references count="2">
          <reference field="4294967294" count="1" selected="0">
            <x v="0"/>
          </reference>
          <reference field="3" count="1" selected="0">
            <x v="5"/>
          </reference>
        </references>
      </pivotArea>
    </chartFormat>
    <chartFormat chart="1" format="8">
      <pivotArea type="data" outline="0" fieldPosition="0">
        <references count="2">
          <reference field="4294967294" count="1" selected="0">
            <x v="0"/>
          </reference>
          <reference field="3" count="1" selected="0">
            <x v="6"/>
          </reference>
        </references>
      </pivotArea>
    </chartFormat>
    <chartFormat chart="1" format="9">
      <pivotArea type="data" outline="0" fieldPosition="0">
        <references count="2">
          <reference field="4294967294" count="1" selected="0">
            <x v="0"/>
          </reference>
          <reference field="3" count="1" selected="0">
            <x v="7"/>
          </reference>
        </references>
      </pivotArea>
    </chartFormat>
    <chartFormat chart="1" format="10">
      <pivotArea type="data" outline="0" fieldPosition="0">
        <references count="2">
          <reference field="4294967294" count="1" selected="0">
            <x v="0"/>
          </reference>
          <reference field="3" count="1" selected="0">
            <x v="8"/>
          </reference>
        </references>
      </pivotArea>
    </chartFormat>
    <chartFormat chart="1" format="11">
      <pivotArea type="data" outline="0" fieldPosition="0">
        <references count="2">
          <reference field="4294967294" count="1" selected="0">
            <x v="0"/>
          </reference>
          <reference field="3" count="1" selected="0">
            <x v="9"/>
          </reference>
        </references>
      </pivotArea>
    </chartFormat>
    <chartFormat chart="1" format="12">
      <pivotArea type="data" outline="0" fieldPosition="0">
        <references count="2">
          <reference field="4294967294" count="1" selected="0">
            <x v="0"/>
          </reference>
          <reference field="3" count="1" selected="0">
            <x v="10"/>
          </reference>
        </references>
      </pivotArea>
    </chartFormat>
    <chartFormat chart="1" format="13">
      <pivotArea type="data" outline="0" fieldPosition="0">
        <references count="2">
          <reference field="4294967294" count="1" selected="0">
            <x v="0"/>
          </reference>
          <reference field="3" count="1" selected="0">
            <x v="11"/>
          </reference>
        </references>
      </pivotArea>
    </chartFormat>
    <chartFormat chart="1" format="14">
      <pivotArea type="data" outline="0" fieldPosition="0">
        <references count="2">
          <reference field="4294967294" count="1" selected="0">
            <x v="0"/>
          </reference>
          <reference field="3" count="1" selected="0">
            <x v="12"/>
          </reference>
        </references>
      </pivotArea>
    </chartFormat>
    <chartFormat chart="1" format="15">
      <pivotArea type="data" outline="0" fieldPosition="0">
        <references count="2">
          <reference field="4294967294" count="1" selected="0">
            <x v="0"/>
          </reference>
          <reference field="3" count="1" selected="0">
            <x v="13"/>
          </reference>
        </references>
      </pivotArea>
    </chartFormat>
    <chartFormat chart="1" format="16">
      <pivotArea type="data" outline="0" fieldPosition="0">
        <references count="2">
          <reference field="4294967294" count="1" selected="0">
            <x v="0"/>
          </reference>
          <reference field="3" count="1" selected="0">
            <x v="14"/>
          </reference>
        </references>
      </pivotArea>
    </chartFormat>
    <chartFormat chart="1" format="17">
      <pivotArea type="data" outline="0" fieldPosition="0">
        <references count="2">
          <reference field="4294967294" count="1" selected="0">
            <x v="0"/>
          </reference>
          <reference field="3" count="1" selected="0">
            <x v="15"/>
          </reference>
        </references>
      </pivotArea>
    </chartFormat>
    <chartFormat chart="1" format="18">
      <pivotArea type="data" outline="0" fieldPosition="0">
        <references count="2">
          <reference field="4294967294" count="1" selected="0">
            <x v="0"/>
          </reference>
          <reference field="3" count="1" selected="0">
            <x v="16"/>
          </reference>
        </references>
      </pivotArea>
    </chartFormat>
    <chartFormat chart="1" format="19">
      <pivotArea type="data" outline="0" fieldPosition="0">
        <references count="2">
          <reference field="4294967294" count="1" selected="0">
            <x v="0"/>
          </reference>
          <reference field="3" count="1" selected="0">
            <x v="17"/>
          </reference>
        </references>
      </pivotArea>
    </chartFormat>
    <chartFormat chart="1" format="20">
      <pivotArea type="data" outline="0" fieldPosition="0">
        <references count="2">
          <reference field="4294967294" count="1" selected="0">
            <x v="0"/>
          </reference>
          <reference field="3" count="1" selected="0">
            <x v="18"/>
          </reference>
        </references>
      </pivotArea>
    </chartFormat>
    <chartFormat chart="1" format="21">
      <pivotArea type="data" outline="0" fieldPosition="0">
        <references count="2">
          <reference field="4294967294" count="1" selected="0">
            <x v="0"/>
          </reference>
          <reference field="3" count="1" selected="0">
            <x v="19"/>
          </reference>
        </references>
      </pivotArea>
    </chartFormat>
    <chartFormat chart="1" format="22">
      <pivotArea type="data" outline="0" fieldPosition="0">
        <references count="2">
          <reference field="4294967294" count="1" selected="0">
            <x v="0"/>
          </reference>
          <reference field="3" count="1" selected="0">
            <x v="20"/>
          </reference>
        </references>
      </pivotArea>
    </chartFormat>
    <chartFormat chart="1" format="23">
      <pivotArea type="data" outline="0" fieldPosition="0">
        <references count="2">
          <reference field="4294967294" count="1" selected="0">
            <x v="0"/>
          </reference>
          <reference field="3" count="1" selected="0">
            <x v="21"/>
          </reference>
        </references>
      </pivotArea>
    </chartFormat>
    <chartFormat chart="1" format="24">
      <pivotArea type="data" outline="0" fieldPosition="0">
        <references count="2">
          <reference field="4294967294" count="1" selected="0">
            <x v="0"/>
          </reference>
          <reference field="3" count="1" selected="0">
            <x v="22"/>
          </reference>
        </references>
      </pivotArea>
    </chartFormat>
    <chartFormat chart="1" format="25">
      <pivotArea type="data" outline="0" fieldPosition="0">
        <references count="2">
          <reference field="4294967294" count="1" selected="0">
            <x v="0"/>
          </reference>
          <reference field="3" count="1" selected="0">
            <x v="23"/>
          </reference>
        </references>
      </pivotArea>
    </chartFormat>
    <chartFormat chart="1" format="26">
      <pivotArea type="data" outline="0" fieldPosition="0">
        <references count="2">
          <reference field="4294967294" count="1" selected="0">
            <x v="0"/>
          </reference>
          <reference field="3" count="1" selected="0">
            <x v="24"/>
          </reference>
        </references>
      </pivotArea>
    </chartFormat>
    <chartFormat chart="1" format="27">
      <pivotArea type="data" outline="0" fieldPosition="0">
        <references count="2">
          <reference field="4294967294" count="1" selected="0">
            <x v="0"/>
          </reference>
          <reference field="3" count="1" selected="0">
            <x v="25"/>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C71E1-380B-4546-9CE7-D1A469F61E7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taurant">
  <location ref="H5:I32" firstHeaderRow="1" firstDataRow="1" firstDataCol="1"/>
  <pivotFields count="16">
    <pivotField showAll="0"/>
    <pivotField numFmtId="165" showAll="0"/>
    <pivotField numFmtId="164" showAll="0"/>
    <pivotField axis="axisRow" showAll="0">
      <items count="27">
        <item x="23"/>
        <item x="21"/>
        <item x="22"/>
        <item x="14"/>
        <item x="17"/>
        <item x="16"/>
        <item x="25"/>
        <item x="18"/>
        <item x="4"/>
        <item x="13"/>
        <item x="19"/>
        <item x="2"/>
        <item x="10"/>
        <item x="1"/>
        <item x="15"/>
        <item x="9"/>
        <item x="20"/>
        <item x="5"/>
        <item x="11"/>
        <item x="0"/>
        <item x="7"/>
        <item x="12"/>
        <item x="8"/>
        <item x="6"/>
        <item x="24"/>
        <item x="3"/>
        <item t="default"/>
      </items>
    </pivotField>
    <pivotField showAll="0">
      <items count="16">
        <item x="1"/>
        <item x="4"/>
        <item m="1" x="14"/>
        <item x="2"/>
        <item x="12"/>
        <item x="13"/>
        <item x="3"/>
        <item x="0"/>
        <item x="6"/>
        <item x="8"/>
        <item x="5"/>
        <item x="10"/>
        <item x="9"/>
        <item x="11"/>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Rating" fld="7" subtotal="average" baseField="0" baseItem="0" numFmtId="2"/>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7E0D0D-42C2-4C0E-BF79-C619385A305D}" autoFormatId="16" applyNumberFormats="0" applyBorderFormats="0" applyFontFormats="0" applyPatternFormats="0" applyAlignmentFormats="0" applyWidthHeightFormats="0">
  <queryTableRefresh nextId="17">
    <queryTableFields count="16">
      <queryTableField id="1" name="Order_ID" tableColumnId="1"/>
      <queryTableField id="2" name="Order_Date.1" tableColumnId="2"/>
      <queryTableField id="3" name="Order_time" tableColumnId="3"/>
      <queryTableField id="4" name="Restaurant" tableColumnId="4"/>
      <queryTableField id="5" name="City" tableColumnId="5"/>
      <queryTableField id="6" name="Cuisine" tableColumnId="6"/>
      <queryTableField id="7" name="Customer_Age" tableColumnId="7"/>
      <queryTableField id="8" name="Rating" tableColumnId="8"/>
      <queryTableField id="9" name="Delivery_Time" tableColumnId="9"/>
      <queryTableField id="10" name="Order_Value" tableColumnId="10"/>
      <queryTableField id="11" name="Discount" tableColumnId="11"/>
      <queryTableField id="12" name="Payment_Mode" tableColumnId="12"/>
      <queryTableField id="13" name="Order_Status" tableColumnId="13"/>
      <queryTableField id="14" name="Number_of_Items" tableColumnId="14"/>
      <queryTableField id="15" name="Delivery_Partner" tableColumnId="15"/>
      <queryTableField id="16" name="Profi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748F2B1-8BDC-4FEF-863E-0F38ABE6539B}" sourceName="City">
  <pivotTables>
    <pivotTable tabId="3" name="PivotTable2"/>
    <pivotTable tabId="3" name="PivotTable1"/>
    <pivotTable tabId="3" name="PivotTable3"/>
    <pivotTable tabId="3" name="PivotTable4"/>
  </pivotTables>
  <data>
    <tabular pivotCacheId="1898940767">
      <items count="15">
        <i x="1" s="1"/>
        <i x="4" s="1"/>
        <i x="2" s="1"/>
        <i x="12" s="1"/>
        <i x="13" s="1"/>
        <i x="3" s="1"/>
        <i x="0" s="1"/>
        <i x="6" s="1"/>
        <i x="8" s="1"/>
        <i x="5" s="1"/>
        <i x="10" s="1"/>
        <i x="9" s="1"/>
        <i x="11" s="1"/>
        <i x="7" s="1"/>
        <i x="1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95C5395C-E7C5-4819-816D-B0AB9762E582}" sourceName="Restaurant">
  <pivotTables>
    <pivotTable tabId="3" name="PivotTable4"/>
    <pivotTable tabId="3" name="PivotTable1"/>
    <pivotTable tabId="3" name="PivotTable2"/>
    <pivotTable tabId="3" name="PivotTable3"/>
  </pivotTables>
  <data>
    <tabular pivotCacheId="1898940767">
      <items count="26">
        <i x="23" s="1"/>
        <i x="21" s="1"/>
        <i x="22" s="1"/>
        <i x="14" s="1"/>
        <i x="17" s="1"/>
        <i x="16" s="1"/>
        <i x="25" s="1"/>
        <i x="18" s="1"/>
        <i x="4" s="1"/>
        <i x="13" s="1"/>
        <i x="19" s="1"/>
        <i x="2" s="1"/>
        <i x="10" s="1"/>
        <i x="1" s="1"/>
        <i x="15" s="1"/>
        <i x="9" s="1"/>
        <i x="20" s="1"/>
        <i x="5" s="1"/>
        <i x="11" s="1"/>
        <i x="0" s="1"/>
        <i x="7" s="1"/>
        <i x="12" s="1"/>
        <i x="8" s="1"/>
        <i x="6" s="1"/>
        <i x="2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0911C22-6B9E-46AF-8965-6C54887F4897}" cache="Slicer_City" caption="City" rowHeight="241300"/>
  <slicer name="Restaurant" xr10:uid="{34E909F1-F257-443C-B5CD-28937501ADD2}" cache="Slicer_Restaurant" caption="Restaurant"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3300F4-8F22-4422-8AFA-57BECFA7ACEE}" name="Table1" displayName="Table1" ref="A1:O501" totalsRowShown="0">
  <autoFilter ref="A1:O501" xr:uid="{B93300F4-8F22-4422-8AFA-57BECFA7ACEE}"/>
  <tableColumns count="15">
    <tableColumn id="1" xr3:uid="{7C0BB230-01AC-4005-9FFF-7A494811496F}" name="Order_ID"/>
    <tableColumn id="2" xr3:uid="{8EEF57B1-486C-46C2-BE99-F25827775F57}" name="Order_Date" dataDxfId="21"/>
    <tableColumn id="3" xr3:uid="{15461F5B-27CB-4D96-980D-B1297EE5B6EE}" name="Restaurant"/>
    <tableColumn id="4" xr3:uid="{ACA3775F-C547-478E-B209-3B4DDCCFC719}" name="City"/>
    <tableColumn id="5" xr3:uid="{D0B0424B-37F0-4596-83D1-451ABF230392}" name="Cuisine"/>
    <tableColumn id="6" xr3:uid="{8D2E63C4-BB05-4878-80DD-4CC63D691E39}" name="Customer_Age"/>
    <tableColumn id="7" xr3:uid="{2C15F2AB-C77D-48DF-A7C6-93C4B74F16AB}" name="Rating"/>
    <tableColumn id="8" xr3:uid="{2DCE18AE-E0CF-4381-AD40-81345FE9EB3C}" name="Delivery_Time"/>
    <tableColumn id="9" xr3:uid="{6B05FE2F-0140-4C91-B0C3-095222040A3B}" name="Order_Value"/>
    <tableColumn id="10" xr3:uid="{506840A3-554C-4880-BE6D-9CD7F52C786B}" name="Discount"/>
    <tableColumn id="11" xr3:uid="{C887A94F-8BC7-4068-84DD-308A1326F848}" name="Payment_Mode"/>
    <tableColumn id="12" xr3:uid="{EA904AFE-7057-41D6-A959-233FF8556BAE}" name="Order_Status"/>
    <tableColumn id="13" xr3:uid="{77D85354-30FC-47A1-826A-13F3C28970DB}" name="Number_of_Items"/>
    <tableColumn id="14" xr3:uid="{4C5D616E-29DD-4D1B-BA4D-4892A3C4F5CA}" name="Delivery_Partner"/>
    <tableColumn id="15" xr3:uid="{59D4C44C-D23C-49A3-9888-89F1332E52B8}"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31CC79-6C4A-4154-87AB-694453E95EC0}" name="Table1_1" displayName="Table1_1" ref="A1:P398" tableType="queryTable" totalsRowShown="0" dataDxfId="20">
  <autoFilter ref="A1:P398" xr:uid="{E631CC79-6C4A-4154-87AB-694453E95EC0}"/>
  <tableColumns count="16">
    <tableColumn id="1" xr3:uid="{D569D677-A24F-47DA-B63C-1F92FCA35D66}" uniqueName="1" name="Order_ID" queryTableFieldId="1" dataDxfId="19"/>
    <tableColumn id="2" xr3:uid="{5F47ADF6-BE7F-41C7-82B2-F57046345701}" uniqueName="2" name="Order_Date" queryTableFieldId="2" dataDxfId="18"/>
    <tableColumn id="3" xr3:uid="{3CD58C3F-1482-4766-8B79-A94781FCF8E1}" uniqueName="3" name="Order_time" queryTableFieldId="3" dataDxfId="17"/>
    <tableColumn id="4" xr3:uid="{58BF48EA-F02C-4A14-B5BF-376624016A02}" uniqueName="4" name="Restaurant" queryTableFieldId="4" dataDxfId="16"/>
    <tableColumn id="5" xr3:uid="{0EC0976D-5329-4889-A598-EF9F8415054D}" uniqueName="5" name="City" queryTableFieldId="5" dataDxfId="15"/>
    <tableColumn id="6" xr3:uid="{9F691EA8-7AFD-4C57-A332-1D71DB2DB368}" uniqueName="6" name="Cuisine" queryTableFieldId="6" dataDxfId="14"/>
    <tableColumn id="7" xr3:uid="{C3B001C4-FA28-4BD4-B70E-604DDF9BBA04}" uniqueName="7" name="Customer_Age" queryTableFieldId="7" dataDxfId="13"/>
    <tableColumn id="8" xr3:uid="{B85FE0B4-BF03-4B54-B362-85A8CA911B8C}" uniqueName="8" name="Rating" queryTableFieldId="8" dataDxfId="12"/>
    <tableColumn id="9" xr3:uid="{B4D28EA0-3ACA-4D42-B606-E9F3F3ECED8A}" uniqueName="9" name="Delivery_Time" queryTableFieldId="9" dataDxfId="11"/>
    <tableColumn id="10" xr3:uid="{C484CF76-C6BA-4368-B6E2-0CC3341A53E3}" uniqueName="10" name="Order_Value" queryTableFieldId="10" dataDxfId="10"/>
    <tableColumn id="11" xr3:uid="{B43781D2-42F2-46E3-902D-AABBDD73E175}" uniqueName="11" name="Discount" queryTableFieldId="11" dataDxfId="9"/>
    <tableColumn id="12" xr3:uid="{802439B0-8A45-4DF6-986C-EF1634AEFCDD}" uniqueName="12" name="Payment_Mode" queryTableFieldId="12" dataDxfId="8"/>
    <tableColumn id="13" xr3:uid="{797D02DA-28E5-46BE-9E36-25F1FB41EDCF}" uniqueName="13" name="Order_Status" queryTableFieldId="13" dataDxfId="7"/>
    <tableColumn id="14" xr3:uid="{CC47E67E-EC9B-41E6-AFEA-CA5789FD394B}" uniqueName="14" name="Number_of_Items" queryTableFieldId="14" dataDxfId="6"/>
    <tableColumn id="15" xr3:uid="{AB4AE94B-6F10-4E68-9C35-E02B64F0CEF4}" uniqueName="15" name="Delivery_Partner" queryTableFieldId="15" dataDxfId="5"/>
    <tableColumn id="16" xr3:uid="{74B28225-72AE-40AD-B0AC-818325AA0309}" uniqueName="16" name="Profit" queryTableFieldId="16" dataDxfId="4"/>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DD25F82-E19D-44D7-B27A-C51FABCBB472}">
  <we:reference id="wa200005669" version="3.0.0.0" store="en-US" storeType="OMEX"/>
  <we:alternateReferences>
    <we:reference id="wa200005669" version="3.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C1E1-5B67-4ADD-A13A-8737FC48196F}">
  <dimension ref="A1:O501"/>
  <sheetViews>
    <sheetView workbookViewId="0">
      <selection activeCell="C11" sqref="C11"/>
    </sheetView>
  </sheetViews>
  <sheetFormatPr defaultRowHeight="16.5" x14ac:dyDescent="0.5"/>
  <cols>
    <col min="1" max="1" width="10.54296875" customWidth="1"/>
    <col min="2" max="2" width="12.7265625" customWidth="1"/>
    <col min="3" max="3" width="12.08984375" customWidth="1"/>
    <col min="5" max="5" width="8.81640625" customWidth="1"/>
    <col min="6" max="6" width="15.08984375" customWidth="1"/>
    <col min="8" max="8" width="14.6328125" customWidth="1"/>
    <col min="9" max="9" width="13.453125" customWidth="1"/>
    <col min="10" max="10" width="10.1796875" customWidth="1"/>
    <col min="11" max="11" width="16.1796875" customWidth="1"/>
    <col min="12" max="12" width="14" customWidth="1"/>
    <col min="13" max="13" width="18.08984375" customWidth="1"/>
    <col min="14" max="14" width="16.90625" customWidth="1"/>
  </cols>
  <sheetData>
    <row r="1" spans="1:15" x14ac:dyDescent="0.5">
      <c r="A1" t="s">
        <v>0</v>
      </c>
      <c r="B1" t="s">
        <v>1</v>
      </c>
      <c r="C1" t="s">
        <v>2</v>
      </c>
      <c r="D1" t="s">
        <v>3</v>
      </c>
      <c r="E1" t="s">
        <v>4</v>
      </c>
      <c r="F1" t="s">
        <v>5</v>
      </c>
      <c r="G1" t="s">
        <v>6</v>
      </c>
      <c r="H1" t="s">
        <v>7</v>
      </c>
      <c r="I1" t="s">
        <v>8</v>
      </c>
      <c r="J1" t="s">
        <v>9</v>
      </c>
      <c r="K1" t="s">
        <v>10</v>
      </c>
      <c r="L1" t="s">
        <v>11</v>
      </c>
      <c r="M1" t="s">
        <v>12</v>
      </c>
      <c r="N1" t="s">
        <v>13</v>
      </c>
      <c r="O1" t="s">
        <v>14</v>
      </c>
    </row>
    <row r="2" spans="1:15" x14ac:dyDescent="0.5">
      <c r="A2" t="s">
        <v>15</v>
      </c>
      <c r="B2" s="1">
        <v>45354</v>
      </c>
      <c r="C2" t="s">
        <v>16</v>
      </c>
      <c r="D2" t="s">
        <v>17</v>
      </c>
      <c r="E2" t="s">
        <v>18</v>
      </c>
      <c r="F2">
        <v>55</v>
      </c>
      <c r="G2">
        <v>4.5</v>
      </c>
      <c r="H2">
        <v>35</v>
      </c>
      <c r="I2">
        <v>1781.57</v>
      </c>
      <c r="J2" s="2">
        <v>0.2</v>
      </c>
      <c r="K2" t="s">
        <v>19</v>
      </c>
      <c r="L2" t="s">
        <v>20</v>
      </c>
      <c r="M2">
        <v>7</v>
      </c>
      <c r="N2" t="s">
        <v>21</v>
      </c>
      <c r="O2">
        <v>124.11</v>
      </c>
    </row>
    <row r="3" spans="1:15" x14ac:dyDescent="0.5">
      <c r="A3" t="s">
        <v>22</v>
      </c>
      <c r="B3" s="1">
        <v>45303</v>
      </c>
      <c r="C3" t="s">
        <v>23</v>
      </c>
      <c r="D3" t="s">
        <v>24</v>
      </c>
      <c r="E3" t="s">
        <v>25</v>
      </c>
      <c r="F3">
        <v>58</v>
      </c>
      <c r="G3">
        <v>3.9</v>
      </c>
      <c r="H3" t="s">
        <v>26</v>
      </c>
      <c r="I3">
        <v>762.48</v>
      </c>
      <c r="J3">
        <v>50</v>
      </c>
      <c r="K3" t="s">
        <v>27</v>
      </c>
      <c r="L3" t="s">
        <v>28</v>
      </c>
      <c r="M3">
        <v>10</v>
      </c>
      <c r="N3" t="s">
        <v>29</v>
      </c>
      <c r="O3">
        <v>50.56</v>
      </c>
    </row>
    <row r="4" spans="1:15" x14ac:dyDescent="0.5">
      <c r="A4" t="s">
        <v>30</v>
      </c>
      <c r="B4" s="1">
        <v>45385</v>
      </c>
      <c r="C4" t="s">
        <v>31</v>
      </c>
      <c r="D4" t="s">
        <v>32</v>
      </c>
      <c r="E4" t="s">
        <v>33</v>
      </c>
      <c r="F4">
        <v>42</v>
      </c>
      <c r="G4">
        <v>2.9</v>
      </c>
      <c r="H4">
        <v>16</v>
      </c>
      <c r="I4" t="s">
        <v>34</v>
      </c>
      <c r="J4">
        <v>75</v>
      </c>
      <c r="K4" t="s">
        <v>27</v>
      </c>
      <c r="L4" t="s">
        <v>28</v>
      </c>
      <c r="M4">
        <v>9</v>
      </c>
      <c r="N4" t="s">
        <v>35</v>
      </c>
      <c r="O4">
        <v>126.35</v>
      </c>
    </row>
    <row r="5" spans="1:15" x14ac:dyDescent="0.5">
      <c r="A5" t="s">
        <v>36</v>
      </c>
      <c r="B5" s="1">
        <v>45416</v>
      </c>
      <c r="C5" t="s">
        <v>37</v>
      </c>
      <c r="D5" t="s">
        <v>38</v>
      </c>
      <c r="E5" t="s">
        <v>39</v>
      </c>
      <c r="F5">
        <v>22</v>
      </c>
      <c r="G5">
        <v>3.1</v>
      </c>
      <c r="H5" t="s">
        <v>40</v>
      </c>
      <c r="I5">
        <v>1251.17</v>
      </c>
      <c r="J5" s="2">
        <v>0.6</v>
      </c>
      <c r="K5" t="s">
        <v>41</v>
      </c>
      <c r="L5" t="s">
        <v>42</v>
      </c>
      <c r="M5">
        <v>6</v>
      </c>
      <c r="N5" t="s">
        <v>43</v>
      </c>
      <c r="O5" t="s">
        <v>44</v>
      </c>
    </row>
    <row r="6" spans="1:15" x14ac:dyDescent="0.5">
      <c r="B6" t="s">
        <v>45</v>
      </c>
      <c r="C6" t="s">
        <v>46</v>
      </c>
      <c r="D6" t="s">
        <v>38</v>
      </c>
      <c r="E6" t="s">
        <v>25</v>
      </c>
      <c r="F6">
        <v>33</v>
      </c>
      <c r="G6">
        <v>4.2</v>
      </c>
      <c r="H6" t="s">
        <v>47</v>
      </c>
      <c r="I6">
        <v>1688.38</v>
      </c>
      <c r="J6">
        <v>150</v>
      </c>
      <c r="K6" t="s">
        <v>19</v>
      </c>
      <c r="L6" t="s">
        <v>28</v>
      </c>
      <c r="M6">
        <v>4</v>
      </c>
      <c r="N6" t="s">
        <v>35</v>
      </c>
      <c r="O6">
        <v>-19.45</v>
      </c>
    </row>
    <row r="7" spans="1:15" x14ac:dyDescent="0.5">
      <c r="A7" t="s">
        <v>48</v>
      </c>
      <c r="B7" s="1">
        <v>45432</v>
      </c>
      <c r="C7" t="s">
        <v>37</v>
      </c>
      <c r="D7" t="s">
        <v>49</v>
      </c>
      <c r="E7" t="s">
        <v>50</v>
      </c>
      <c r="F7">
        <v>47</v>
      </c>
      <c r="G7">
        <v>3.8</v>
      </c>
      <c r="H7">
        <v>77</v>
      </c>
      <c r="I7">
        <v>488.42</v>
      </c>
      <c r="J7">
        <v>120</v>
      </c>
      <c r="K7" t="s">
        <v>27</v>
      </c>
      <c r="L7" t="s">
        <v>28</v>
      </c>
      <c r="M7">
        <v>1</v>
      </c>
      <c r="N7" t="s">
        <v>51</v>
      </c>
      <c r="O7">
        <v>116.36</v>
      </c>
    </row>
    <row r="8" spans="1:15" x14ac:dyDescent="0.5">
      <c r="A8" t="s">
        <v>52</v>
      </c>
      <c r="B8" t="s">
        <v>53</v>
      </c>
      <c r="C8" t="s">
        <v>46</v>
      </c>
      <c r="D8" t="s">
        <v>54</v>
      </c>
      <c r="E8" t="s">
        <v>55</v>
      </c>
      <c r="F8">
        <v>22</v>
      </c>
      <c r="H8">
        <v>27</v>
      </c>
      <c r="I8">
        <v>294.36</v>
      </c>
      <c r="J8" s="2">
        <v>0.2</v>
      </c>
      <c r="K8" t="s">
        <v>19</v>
      </c>
      <c r="L8" t="s">
        <v>28</v>
      </c>
      <c r="M8">
        <v>9</v>
      </c>
      <c r="N8" t="s">
        <v>21</v>
      </c>
      <c r="O8">
        <v>227.48</v>
      </c>
    </row>
    <row r="9" spans="1:15" x14ac:dyDescent="0.5">
      <c r="A9" t="s">
        <v>56</v>
      </c>
      <c r="B9" s="1">
        <v>45319</v>
      </c>
      <c r="C9" t="s">
        <v>23</v>
      </c>
      <c r="D9" t="s">
        <v>54</v>
      </c>
      <c r="E9" t="s">
        <v>39</v>
      </c>
      <c r="G9">
        <v>3.5</v>
      </c>
      <c r="H9">
        <v>71</v>
      </c>
      <c r="I9">
        <v>1433</v>
      </c>
      <c r="K9" t="s">
        <v>19</v>
      </c>
      <c r="L9" t="s">
        <v>28</v>
      </c>
      <c r="M9">
        <v>3</v>
      </c>
      <c r="N9" t="s">
        <v>21</v>
      </c>
      <c r="O9">
        <v>182.72</v>
      </c>
    </row>
    <row r="10" spans="1:15" x14ac:dyDescent="0.5">
      <c r="A10" t="s">
        <v>57</v>
      </c>
      <c r="B10" s="1">
        <v>45355</v>
      </c>
      <c r="C10" t="s">
        <v>37</v>
      </c>
      <c r="D10" t="s">
        <v>58</v>
      </c>
      <c r="F10">
        <v>39</v>
      </c>
      <c r="G10">
        <v>2.6</v>
      </c>
      <c r="H10">
        <v>46</v>
      </c>
      <c r="I10">
        <v>755</v>
      </c>
      <c r="J10" s="2">
        <v>0.1</v>
      </c>
      <c r="K10" t="s">
        <v>41</v>
      </c>
      <c r="L10" t="s">
        <v>59</v>
      </c>
      <c r="M10">
        <v>4</v>
      </c>
      <c r="N10" t="s">
        <v>43</v>
      </c>
      <c r="O10">
        <v>239.07</v>
      </c>
    </row>
    <row r="11" spans="1:15" x14ac:dyDescent="0.5">
      <c r="A11" t="s">
        <v>60</v>
      </c>
      <c r="B11" s="3">
        <v>45429</v>
      </c>
      <c r="C11" t="s">
        <v>16</v>
      </c>
      <c r="D11" t="s">
        <v>17</v>
      </c>
      <c r="E11" t="s">
        <v>61</v>
      </c>
      <c r="F11">
        <v>30</v>
      </c>
      <c r="G11">
        <v>3.8</v>
      </c>
      <c r="I11">
        <v>2322.87</v>
      </c>
      <c r="J11">
        <v>150</v>
      </c>
      <c r="K11" t="s">
        <v>27</v>
      </c>
      <c r="L11" t="s">
        <v>59</v>
      </c>
      <c r="M11">
        <v>5</v>
      </c>
      <c r="N11" t="s">
        <v>51</v>
      </c>
      <c r="O11">
        <v>52.79</v>
      </c>
    </row>
    <row r="12" spans="1:15" x14ac:dyDescent="0.5">
      <c r="A12" t="s">
        <v>62</v>
      </c>
      <c r="B12" s="4">
        <v>45389.963194444441</v>
      </c>
      <c r="C12" t="s">
        <v>63</v>
      </c>
      <c r="D12" t="s">
        <v>54</v>
      </c>
      <c r="E12" t="s">
        <v>61</v>
      </c>
      <c r="F12">
        <v>65</v>
      </c>
      <c r="G12">
        <v>1.3</v>
      </c>
      <c r="H12">
        <v>57</v>
      </c>
      <c r="I12">
        <v>342.26</v>
      </c>
      <c r="J12" s="2">
        <v>0.2</v>
      </c>
      <c r="K12" t="s">
        <v>64</v>
      </c>
      <c r="L12" t="s">
        <v>28</v>
      </c>
      <c r="M12">
        <v>10</v>
      </c>
      <c r="N12" t="s">
        <v>35</v>
      </c>
      <c r="O12">
        <v>51.89</v>
      </c>
    </row>
    <row r="13" spans="1:15" x14ac:dyDescent="0.5">
      <c r="A13" t="s">
        <v>65</v>
      </c>
      <c r="B13" s="4">
        <v>45489.151388888888</v>
      </c>
      <c r="C13" t="s">
        <v>66</v>
      </c>
      <c r="D13" t="s">
        <v>58</v>
      </c>
      <c r="E13" t="s">
        <v>67</v>
      </c>
      <c r="F13">
        <v>46</v>
      </c>
      <c r="G13">
        <v>3.9</v>
      </c>
      <c r="H13">
        <v>72</v>
      </c>
      <c r="I13">
        <v>2255.36</v>
      </c>
      <c r="J13">
        <v>75</v>
      </c>
      <c r="K13" t="s">
        <v>68</v>
      </c>
      <c r="L13" t="s">
        <v>28</v>
      </c>
      <c r="M13">
        <v>5</v>
      </c>
      <c r="N13" t="s">
        <v>35</v>
      </c>
      <c r="O13">
        <v>98.25</v>
      </c>
    </row>
    <row r="14" spans="1:15" x14ac:dyDescent="0.5">
      <c r="A14" t="s">
        <v>69</v>
      </c>
      <c r="B14" s="1">
        <v>45472</v>
      </c>
      <c r="C14" t="s">
        <v>70</v>
      </c>
      <c r="D14" t="s">
        <v>71</v>
      </c>
      <c r="E14" t="s">
        <v>72</v>
      </c>
      <c r="F14">
        <v>42</v>
      </c>
      <c r="G14">
        <v>4.8</v>
      </c>
      <c r="H14">
        <v>43</v>
      </c>
      <c r="I14">
        <v>1281.99</v>
      </c>
      <c r="J14">
        <v>100</v>
      </c>
      <c r="K14" t="s">
        <v>73</v>
      </c>
      <c r="L14" t="s">
        <v>28</v>
      </c>
      <c r="M14">
        <v>7</v>
      </c>
      <c r="N14" t="s">
        <v>74</v>
      </c>
      <c r="O14">
        <v>132.11000000000001</v>
      </c>
    </row>
    <row r="15" spans="1:15" x14ac:dyDescent="0.5">
      <c r="A15" t="s">
        <v>75</v>
      </c>
      <c r="B15" s="1">
        <v>45389</v>
      </c>
      <c r="C15" t="s">
        <v>76</v>
      </c>
      <c r="D15" t="s">
        <v>71</v>
      </c>
      <c r="E15" t="s">
        <v>18</v>
      </c>
      <c r="F15">
        <v>59</v>
      </c>
      <c r="I15">
        <v>708.53</v>
      </c>
      <c r="J15">
        <v>50</v>
      </c>
      <c r="K15" t="s">
        <v>68</v>
      </c>
      <c r="L15" t="s">
        <v>28</v>
      </c>
      <c r="M15">
        <v>10</v>
      </c>
      <c r="N15" t="s">
        <v>29</v>
      </c>
      <c r="O15">
        <v>-25.96</v>
      </c>
    </row>
    <row r="16" spans="1:15" x14ac:dyDescent="0.5">
      <c r="A16" t="s">
        <v>77</v>
      </c>
      <c r="B16" s="3">
        <v>45439</v>
      </c>
      <c r="C16" t="s">
        <v>70</v>
      </c>
      <c r="D16" t="s">
        <v>58</v>
      </c>
      <c r="E16" t="s">
        <v>78</v>
      </c>
      <c r="G16">
        <v>3.6</v>
      </c>
      <c r="H16" t="s">
        <v>79</v>
      </c>
      <c r="I16">
        <v>932.13</v>
      </c>
      <c r="J16">
        <v>0</v>
      </c>
      <c r="K16" t="s">
        <v>41</v>
      </c>
      <c r="L16" t="s">
        <v>42</v>
      </c>
      <c r="M16">
        <v>5</v>
      </c>
      <c r="N16" t="s">
        <v>51</v>
      </c>
      <c r="O16">
        <v>79.55</v>
      </c>
    </row>
    <row r="17" spans="1:15" x14ac:dyDescent="0.5">
      <c r="A17" t="s">
        <v>80</v>
      </c>
      <c r="B17" s="1">
        <v>45354</v>
      </c>
      <c r="C17" t="s">
        <v>81</v>
      </c>
      <c r="D17" t="s">
        <v>17</v>
      </c>
      <c r="E17" t="s">
        <v>61</v>
      </c>
      <c r="F17">
        <v>35</v>
      </c>
      <c r="G17">
        <v>3.1</v>
      </c>
      <c r="H17" t="s">
        <v>82</v>
      </c>
      <c r="I17">
        <v>1833.78</v>
      </c>
      <c r="J17">
        <v>150</v>
      </c>
      <c r="K17" t="s">
        <v>41</v>
      </c>
      <c r="L17" t="s">
        <v>28</v>
      </c>
      <c r="M17">
        <v>10</v>
      </c>
      <c r="N17" t="s">
        <v>83</v>
      </c>
      <c r="O17">
        <v>60.42</v>
      </c>
    </row>
    <row r="18" spans="1:15" x14ac:dyDescent="0.5">
      <c r="A18" t="s">
        <v>84</v>
      </c>
      <c r="B18" s="1">
        <v>45361</v>
      </c>
      <c r="C18" t="s">
        <v>16</v>
      </c>
      <c r="D18" t="s">
        <v>49</v>
      </c>
      <c r="E18" t="s">
        <v>78</v>
      </c>
      <c r="F18">
        <v>30</v>
      </c>
      <c r="G18">
        <v>2.4</v>
      </c>
      <c r="H18">
        <v>31</v>
      </c>
      <c r="I18">
        <v>772.86</v>
      </c>
      <c r="J18">
        <v>150</v>
      </c>
      <c r="K18" t="s">
        <v>68</v>
      </c>
      <c r="L18" t="s">
        <v>28</v>
      </c>
      <c r="M18">
        <v>3</v>
      </c>
      <c r="N18" t="s">
        <v>21</v>
      </c>
      <c r="O18" t="s">
        <v>85</v>
      </c>
    </row>
    <row r="19" spans="1:15" x14ac:dyDescent="0.5">
      <c r="A19" t="s">
        <v>86</v>
      </c>
      <c r="B19" s="1">
        <v>45467</v>
      </c>
      <c r="C19" t="s">
        <v>87</v>
      </c>
      <c r="D19" t="s">
        <v>88</v>
      </c>
      <c r="E19" t="s">
        <v>25</v>
      </c>
      <c r="F19">
        <v>55</v>
      </c>
      <c r="G19">
        <v>2.2000000000000002</v>
      </c>
      <c r="H19">
        <v>27</v>
      </c>
      <c r="I19">
        <v>2375.2600000000002</v>
      </c>
      <c r="J19" s="2">
        <v>0.1</v>
      </c>
      <c r="K19" t="s">
        <v>68</v>
      </c>
      <c r="L19" t="s">
        <v>28</v>
      </c>
      <c r="M19">
        <v>4</v>
      </c>
      <c r="N19" t="s">
        <v>83</v>
      </c>
      <c r="O19">
        <v>69.83</v>
      </c>
    </row>
    <row r="20" spans="1:15" x14ac:dyDescent="0.5">
      <c r="A20" t="s">
        <v>89</v>
      </c>
      <c r="B20" s="4">
        <v>45452.838194444441</v>
      </c>
      <c r="C20" t="s">
        <v>66</v>
      </c>
      <c r="D20" t="s">
        <v>49</v>
      </c>
      <c r="E20" t="s">
        <v>78</v>
      </c>
      <c r="F20">
        <v>43</v>
      </c>
      <c r="G20">
        <v>3</v>
      </c>
      <c r="H20">
        <v>25</v>
      </c>
      <c r="I20">
        <v>1543.33</v>
      </c>
      <c r="J20">
        <v>120</v>
      </c>
      <c r="L20" t="s">
        <v>42</v>
      </c>
      <c r="M20">
        <v>1</v>
      </c>
      <c r="N20" t="s">
        <v>29</v>
      </c>
      <c r="O20">
        <v>171.83</v>
      </c>
    </row>
    <row r="21" spans="1:15" x14ac:dyDescent="0.5">
      <c r="A21" t="s">
        <v>90</v>
      </c>
      <c r="B21" s="3">
        <v>45363</v>
      </c>
      <c r="C21" t="s">
        <v>70</v>
      </c>
      <c r="D21" t="s">
        <v>38</v>
      </c>
      <c r="E21" t="s">
        <v>55</v>
      </c>
      <c r="F21">
        <v>53</v>
      </c>
      <c r="H21" t="s">
        <v>91</v>
      </c>
      <c r="I21">
        <v>889.39</v>
      </c>
      <c r="J21">
        <v>120</v>
      </c>
      <c r="K21" t="s">
        <v>19</v>
      </c>
      <c r="L21" t="s">
        <v>42</v>
      </c>
      <c r="M21">
        <v>8</v>
      </c>
      <c r="N21" t="s">
        <v>21</v>
      </c>
      <c r="O21">
        <v>226.13</v>
      </c>
    </row>
    <row r="22" spans="1:15" x14ac:dyDescent="0.5">
      <c r="A22" t="s">
        <v>92</v>
      </c>
      <c r="B22" s="4">
        <v>45453.865277777775</v>
      </c>
      <c r="C22" t="s">
        <v>31</v>
      </c>
      <c r="D22" t="s">
        <v>93</v>
      </c>
      <c r="E22" t="s">
        <v>67</v>
      </c>
      <c r="F22">
        <v>48</v>
      </c>
      <c r="G22">
        <v>2</v>
      </c>
      <c r="H22">
        <v>64</v>
      </c>
      <c r="I22">
        <v>573.65</v>
      </c>
      <c r="J22">
        <v>50</v>
      </c>
      <c r="K22" t="s">
        <v>19</v>
      </c>
      <c r="L22" t="s">
        <v>94</v>
      </c>
      <c r="M22">
        <v>10</v>
      </c>
      <c r="N22" t="s">
        <v>29</v>
      </c>
      <c r="O22">
        <v>97.73</v>
      </c>
    </row>
    <row r="23" spans="1:15" x14ac:dyDescent="0.5">
      <c r="A23" t="s">
        <v>95</v>
      </c>
      <c r="B23" s="3">
        <v>45408</v>
      </c>
      <c r="C23" t="s">
        <v>31</v>
      </c>
      <c r="D23" t="s">
        <v>38</v>
      </c>
      <c r="E23" t="s">
        <v>55</v>
      </c>
      <c r="F23">
        <v>20</v>
      </c>
      <c r="G23">
        <v>4.9000000000000004</v>
      </c>
      <c r="H23">
        <v>27</v>
      </c>
      <c r="I23">
        <v>2200.5700000000002</v>
      </c>
      <c r="J23">
        <v>100</v>
      </c>
      <c r="K23" t="s">
        <v>19</v>
      </c>
      <c r="L23" t="s">
        <v>42</v>
      </c>
      <c r="M23">
        <v>10</v>
      </c>
      <c r="N23" t="s">
        <v>29</v>
      </c>
      <c r="O23">
        <v>28.43</v>
      </c>
    </row>
    <row r="24" spans="1:15" x14ac:dyDescent="0.5">
      <c r="A24" t="s">
        <v>96</v>
      </c>
      <c r="B24" s="3">
        <v>45452</v>
      </c>
      <c r="C24" t="s">
        <v>46</v>
      </c>
      <c r="D24" t="s">
        <v>58</v>
      </c>
      <c r="E24" t="s">
        <v>97</v>
      </c>
      <c r="G24">
        <v>2.2000000000000002</v>
      </c>
      <c r="H24">
        <v>33</v>
      </c>
      <c r="I24">
        <v>701.19</v>
      </c>
      <c r="J24">
        <v>50</v>
      </c>
      <c r="K24" t="s">
        <v>68</v>
      </c>
      <c r="L24" t="s">
        <v>42</v>
      </c>
      <c r="M24">
        <v>5</v>
      </c>
      <c r="N24" t="s">
        <v>98</v>
      </c>
      <c r="O24">
        <v>185.53</v>
      </c>
    </row>
    <row r="25" spans="1:15" x14ac:dyDescent="0.5">
      <c r="A25" t="s">
        <v>99</v>
      </c>
      <c r="B25" s="3">
        <v>45405</v>
      </c>
      <c r="C25" t="s">
        <v>23</v>
      </c>
      <c r="D25" t="s">
        <v>58</v>
      </c>
      <c r="E25" t="s">
        <v>55</v>
      </c>
      <c r="F25">
        <v>60</v>
      </c>
      <c r="G25">
        <v>1</v>
      </c>
      <c r="H25">
        <v>21</v>
      </c>
      <c r="I25">
        <v>2287.27</v>
      </c>
      <c r="J25">
        <v>75</v>
      </c>
      <c r="K25" t="s">
        <v>68</v>
      </c>
      <c r="L25" t="s">
        <v>28</v>
      </c>
      <c r="M25">
        <v>3</v>
      </c>
      <c r="N25" t="s">
        <v>29</v>
      </c>
      <c r="O25">
        <v>-66.989999999999995</v>
      </c>
    </row>
    <row r="26" spans="1:15" x14ac:dyDescent="0.5">
      <c r="A26" t="s">
        <v>100</v>
      </c>
      <c r="B26" s="3">
        <v>45325</v>
      </c>
      <c r="C26" t="s">
        <v>76</v>
      </c>
      <c r="D26" t="s">
        <v>38</v>
      </c>
      <c r="E26" t="s">
        <v>101</v>
      </c>
      <c r="F26">
        <v>39</v>
      </c>
      <c r="G26">
        <v>2.9</v>
      </c>
      <c r="H26" t="s">
        <v>102</v>
      </c>
      <c r="I26">
        <v>2420.27</v>
      </c>
      <c r="J26">
        <v>100</v>
      </c>
      <c r="K26" t="s">
        <v>103</v>
      </c>
      <c r="L26" t="s">
        <v>28</v>
      </c>
      <c r="M26">
        <v>5</v>
      </c>
      <c r="N26" t="s">
        <v>51</v>
      </c>
      <c r="O26">
        <v>42.59</v>
      </c>
    </row>
    <row r="27" spans="1:15" x14ac:dyDescent="0.5">
      <c r="A27" t="s">
        <v>104</v>
      </c>
      <c r="B27" s="3">
        <v>45435</v>
      </c>
      <c r="C27" t="s">
        <v>66</v>
      </c>
      <c r="D27" t="s">
        <v>105</v>
      </c>
      <c r="E27" t="s">
        <v>39</v>
      </c>
      <c r="F27">
        <v>26</v>
      </c>
      <c r="G27">
        <v>2.5</v>
      </c>
      <c r="H27">
        <v>68</v>
      </c>
      <c r="I27">
        <v>1517.87</v>
      </c>
      <c r="J27">
        <v>150</v>
      </c>
      <c r="K27" t="s">
        <v>19</v>
      </c>
      <c r="L27" t="s">
        <v>59</v>
      </c>
      <c r="M27">
        <v>4</v>
      </c>
      <c r="N27" t="s">
        <v>83</v>
      </c>
      <c r="O27">
        <v>99.67</v>
      </c>
    </row>
    <row r="28" spans="1:15" x14ac:dyDescent="0.5">
      <c r="A28" t="s">
        <v>106</v>
      </c>
      <c r="B28" s="3">
        <v>45340</v>
      </c>
      <c r="C28" t="s">
        <v>81</v>
      </c>
      <c r="D28" t="s">
        <v>17</v>
      </c>
      <c r="E28" t="s">
        <v>78</v>
      </c>
      <c r="F28">
        <v>32</v>
      </c>
      <c r="G28">
        <v>1.6</v>
      </c>
      <c r="H28">
        <v>15</v>
      </c>
      <c r="I28">
        <v>779.91</v>
      </c>
      <c r="J28">
        <v>120</v>
      </c>
      <c r="K28" t="s">
        <v>73</v>
      </c>
      <c r="M28">
        <v>4</v>
      </c>
      <c r="N28" t="s">
        <v>51</v>
      </c>
      <c r="O28">
        <v>-62.71</v>
      </c>
    </row>
    <row r="29" spans="1:15" x14ac:dyDescent="0.5">
      <c r="A29" t="s">
        <v>107</v>
      </c>
      <c r="B29" s="4">
        <v>45413.637499999997</v>
      </c>
      <c r="C29" t="s">
        <v>37</v>
      </c>
      <c r="D29" t="s">
        <v>88</v>
      </c>
      <c r="E29" t="s">
        <v>67</v>
      </c>
      <c r="F29">
        <v>46</v>
      </c>
      <c r="G29">
        <v>1.3</v>
      </c>
      <c r="H29">
        <v>23</v>
      </c>
      <c r="I29">
        <v>420.34</v>
      </c>
      <c r="J29">
        <v>150</v>
      </c>
      <c r="K29" t="s">
        <v>73</v>
      </c>
      <c r="L29" t="s">
        <v>28</v>
      </c>
      <c r="M29">
        <v>9</v>
      </c>
      <c r="N29" t="s">
        <v>29</v>
      </c>
      <c r="O29">
        <v>213.07</v>
      </c>
    </row>
    <row r="30" spans="1:15" x14ac:dyDescent="0.5">
      <c r="A30" t="s">
        <v>108</v>
      </c>
      <c r="B30" s="1">
        <v>45419</v>
      </c>
      <c r="C30" t="s">
        <v>76</v>
      </c>
      <c r="D30" t="s">
        <v>93</v>
      </c>
      <c r="E30" t="s">
        <v>61</v>
      </c>
      <c r="F30">
        <v>39</v>
      </c>
      <c r="G30">
        <v>2.6</v>
      </c>
      <c r="H30">
        <v>69</v>
      </c>
      <c r="I30">
        <v>2186.06</v>
      </c>
      <c r="J30">
        <v>120</v>
      </c>
      <c r="K30" t="s">
        <v>73</v>
      </c>
      <c r="L30" t="s">
        <v>28</v>
      </c>
      <c r="M30">
        <v>6</v>
      </c>
      <c r="N30" t="s">
        <v>21</v>
      </c>
      <c r="O30">
        <v>186.38</v>
      </c>
    </row>
    <row r="31" spans="1:15" x14ac:dyDescent="0.5">
      <c r="A31" t="s">
        <v>109</v>
      </c>
      <c r="B31" s="4">
        <v>45449.959722222222</v>
      </c>
      <c r="C31" t="s">
        <v>110</v>
      </c>
      <c r="D31" t="s">
        <v>54</v>
      </c>
      <c r="E31" t="s">
        <v>39</v>
      </c>
      <c r="F31">
        <v>65</v>
      </c>
      <c r="G31">
        <v>1.1000000000000001</v>
      </c>
      <c r="H31">
        <v>42</v>
      </c>
      <c r="I31">
        <v>1015.34</v>
      </c>
      <c r="J31" s="2">
        <v>0.2</v>
      </c>
      <c r="K31" t="s">
        <v>27</v>
      </c>
      <c r="L31" t="s">
        <v>28</v>
      </c>
      <c r="M31">
        <v>2</v>
      </c>
      <c r="N31" t="s">
        <v>83</v>
      </c>
      <c r="O31">
        <v>120.34</v>
      </c>
    </row>
    <row r="32" spans="1:15" x14ac:dyDescent="0.5">
      <c r="A32" t="s">
        <v>111</v>
      </c>
      <c r="B32" s="1">
        <v>45380</v>
      </c>
      <c r="C32" t="s">
        <v>112</v>
      </c>
      <c r="D32" t="s">
        <v>105</v>
      </c>
      <c r="E32" t="s">
        <v>25</v>
      </c>
      <c r="F32">
        <v>38</v>
      </c>
      <c r="G32">
        <v>3</v>
      </c>
      <c r="H32">
        <v>31</v>
      </c>
      <c r="I32">
        <v>1024.8900000000001</v>
      </c>
      <c r="J32">
        <v>150</v>
      </c>
      <c r="K32" t="s">
        <v>73</v>
      </c>
      <c r="L32" t="s">
        <v>28</v>
      </c>
      <c r="M32">
        <v>7</v>
      </c>
      <c r="N32" t="s">
        <v>51</v>
      </c>
      <c r="O32">
        <v>15.54</v>
      </c>
    </row>
    <row r="33" spans="1:15" x14ac:dyDescent="0.5">
      <c r="A33" t="s">
        <v>113</v>
      </c>
      <c r="B33" s="3">
        <v>45450</v>
      </c>
      <c r="C33" t="s">
        <v>76</v>
      </c>
      <c r="D33" t="s">
        <v>88</v>
      </c>
      <c r="E33" t="s">
        <v>25</v>
      </c>
      <c r="F33">
        <v>50</v>
      </c>
      <c r="G33">
        <v>4.0999999999999996</v>
      </c>
      <c r="H33">
        <v>33</v>
      </c>
      <c r="I33" t="s">
        <v>114</v>
      </c>
      <c r="J33" s="2">
        <v>0.6</v>
      </c>
      <c r="K33" t="s">
        <v>68</v>
      </c>
      <c r="L33" t="s">
        <v>28</v>
      </c>
      <c r="M33">
        <v>10</v>
      </c>
      <c r="N33" t="s">
        <v>29</v>
      </c>
      <c r="O33">
        <v>205.2</v>
      </c>
    </row>
    <row r="34" spans="1:15" x14ac:dyDescent="0.5">
      <c r="A34" t="s">
        <v>115</v>
      </c>
      <c r="B34" t="s">
        <v>116</v>
      </c>
      <c r="C34" t="s">
        <v>23</v>
      </c>
      <c r="D34" t="s">
        <v>17</v>
      </c>
      <c r="E34" t="s">
        <v>97</v>
      </c>
      <c r="F34">
        <v>65</v>
      </c>
      <c r="G34">
        <v>2.8</v>
      </c>
      <c r="H34">
        <v>39</v>
      </c>
      <c r="I34">
        <v>885.23</v>
      </c>
      <c r="J34" s="2">
        <v>0.1</v>
      </c>
      <c r="K34" t="s">
        <v>41</v>
      </c>
      <c r="L34" t="s">
        <v>28</v>
      </c>
      <c r="M34">
        <v>8</v>
      </c>
      <c r="N34" t="s">
        <v>43</v>
      </c>
      <c r="O34">
        <v>40.090000000000003</v>
      </c>
    </row>
    <row r="35" spans="1:15" x14ac:dyDescent="0.5">
      <c r="A35" t="s">
        <v>117</v>
      </c>
      <c r="B35" s="1">
        <v>45465</v>
      </c>
      <c r="C35" t="s">
        <v>118</v>
      </c>
      <c r="D35" t="s">
        <v>71</v>
      </c>
      <c r="E35" t="s">
        <v>78</v>
      </c>
      <c r="F35">
        <v>40</v>
      </c>
      <c r="G35">
        <v>3.6</v>
      </c>
      <c r="H35">
        <v>31</v>
      </c>
      <c r="I35">
        <v>1536.2</v>
      </c>
      <c r="J35" s="2">
        <v>0.5</v>
      </c>
      <c r="K35" t="s">
        <v>27</v>
      </c>
      <c r="L35" t="s">
        <v>28</v>
      </c>
      <c r="M35">
        <v>1</v>
      </c>
      <c r="N35" t="s">
        <v>83</v>
      </c>
      <c r="O35">
        <v>32.770000000000003</v>
      </c>
    </row>
    <row r="36" spans="1:15" x14ac:dyDescent="0.5">
      <c r="A36" t="s">
        <v>119</v>
      </c>
      <c r="B36" s="1">
        <v>45331</v>
      </c>
      <c r="C36" t="s">
        <v>16</v>
      </c>
      <c r="D36" t="s">
        <v>38</v>
      </c>
      <c r="E36" t="s">
        <v>33</v>
      </c>
      <c r="F36">
        <v>28</v>
      </c>
      <c r="G36">
        <v>1.2</v>
      </c>
      <c r="H36">
        <v>45</v>
      </c>
      <c r="I36">
        <v>2427.62</v>
      </c>
      <c r="J36">
        <v>100</v>
      </c>
      <c r="K36" t="s">
        <v>68</v>
      </c>
      <c r="L36" t="s">
        <v>28</v>
      </c>
      <c r="M36">
        <v>10</v>
      </c>
      <c r="N36" t="s">
        <v>43</v>
      </c>
      <c r="O36">
        <v>46.02</v>
      </c>
    </row>
    <row r="37" spans="1:15" x14ac:dyDescent="0.5">
      <c r="A37" t="s">
        <v>120</v>
      </c>
      <c r="B37" s="3">
        <v>45446</v>
      </c>
      <c r="C37" t="s">
        <v>46</v>
      </c>
      <c r="D37" t="s">
        <v>88</v>
      </c>
      <c r="E37" t="s">
        <v>101</v>
      </c>
      <c r="F37">
        <v>32</v>
      </c>
      <c r="G37">
        <v>4.5</v>
      </c>
      <c r="H37">
        <v>68</v>
      </c>
      <c r="I37">
        <v>246.75</v>
      </c>
      <c r="J37" s="2">
        <v>0.1</v>
      </c>
      <c r="K37" t="s">
        <v>73</v>
      </c>
      <c r="L37" t="s">
        <v>59</v>
      </c>
      <c r="M37">
        <v>8</v>
      </c>
      <c r="N37" t="s">
        <v>29</v>
      </c>
      <c r="O37">
        <v>74.81</v>
      </c>
    </row>
    <row r="38" spans="1:15" x14ac:dyDescent="0.5">
      <c r="A38" t="s">
        <v>121</v>
      </c>
      <c r="B38" s="3">
        <v>45330</v>
      </c>
      <c r="C38" t="s">
        <v>122</v>
      </c>
      <c r="D38" t="s">
        <v>17</v>
      </c>
      <c r="E38" t="s">
        <v>97</v>
      </c>
      <c r="G38">
        <v>2</v>
      </c>
      <c r="H38" t="s">
        <v>123</v>
      </c>
      <c r="I38">
        <v>123.72</v>
      </c>
      <c r="J38">
        <v>50</v>
      </c>
      <c r="K38" t="s">
        <v>27</v>
      </c>
      <c r="L38" t="s">
        <v>28</v>
      </c>
      <c r="M38">
        <v>1</v>
      </c>
      <c r="N38" t="s">
        <v>98</v>
      </c>
      <c r="O38">
        <v>47.67</v>
      </c>
    </row>
    <row r="39" spans="1:15" x14ac:dyDescent="0.5">
      <c r="A39" t="s">
        <v>124</v>
      </c>
      <c r="B39" s="1">
        <v>45309</v>
      </c>
      <c r="C39" t="s">
        <v>112</v>
      </c>
      <c r="D39" t="s">
        <v>17</v>
      </c>
      <c r="E39" t="s">
        <v>67</v>
      </c>
      <c r="F39">
        <v>63</v>
      </c>
      <c r="G39">
        <v>2.8</v>
      </c>
      <c r="H39">
        <v>20</v>
      </c>
      <c r="I39">
        <v>2002.84</v>
      </c>
      <c r="J39" s="2">
        <v>0.2</v>
      </c>
      <c r="K39" t="s">
        <v>103</v>
      </c>
      <c r="L39" t="s">
        <v>28</v>
      </c>
      <c r="M39">
        <v>1</v>
      </c>
      <c r="N39" t="s">
        <v>29</v>
      </c>
      <c r="O39">
        <v>41.45</v>
      </c>
    </row>
    <row r="40" spans="1:15" x14ac:dyDescent="0.5">
      <c r="A40" t="s">
        <v>125</v>
      </c>
      <c r="B40" s="3">
        <v>45390</v>
      </c>
      <c r="C40" t="s">
        <v>81</v>
      </c>
      <c r="D40" t="s">
        <v>126</v>
      </c>
      <c r="E40" t="s">
        <v>78</v>
      </c>
      <c r="F40">
        <v>38</v>
      </c>
      <c r="G40">
        <v>2.2000000000000002</v>
      </c>
      <c r="H40">
        <v>69</v>
      </c>
      <c r="I40">
        <v>516.61</v>
      </c>
      <c r="J40">
        <v>150</v>
      </c>
      <c r="K40" t="s">
        <v>73</v>
      </c>
      <c r="L40" t="s">
        <v>28</v>
      </c>
      <c r="M40">
        <v>3</v>
      </c>
      <c r="N40" t="s">
        <v>21</v>
      </c>
    </row>
    <row r="41" spans="1:15" x14ac:dyDescent="0.5">
      <c r="A41" t="s">
        <v>127</v>
      </c>
      <c r="B41" s="1">
        <v>45355</v>
      </c>
      <c r="D41" t="s">
        <v>49</v>
      </c>
      <c r="E41" t="s">
        <v>97</v>
      </c>
      <c r="F41">
        <v>33</v>
      </c>
      <c r="G41">
        <v>1.1000000000000001</v>
      </c>
      <c r="H41" t="s">
        <v>128</v>
      </c>
      <c r="I41">
        <v>1041.03</v>
      </c>
      <c r="J41" s="2">
        <v>0.2</v>
      </c>
      <c r="K41" t="s">
        <v>27</v>
      </c>
      <c r="L41" t="s">
        <v>28</v>
      </c>
      <c r="M41">
        <v>3</v>
      </c>
      <c r="N41" t="s">
        <v>29</v>
      </c>
      <c r="O41">
        <v>145.04</v>
      </c>
    </row>
    <row r="42" spans="1:15" x14ac:dyDescent="0.5">
      <c r="A42" t="s">
        <v>129</v>
      </c>
      <c r="B42" t="s">
        <v>130</v>
      </c>
      <c r="C42" t="s">
        <v>23</v>
      </c>
      <c r="D42" t="s">
        <v>38</v>
      </c>
      <c r="E42" t="s">
        <v>33</v>
      </c>
      <c r="F42">
        <v>47</v>
      </c>
      <c r="G42">
        <v>3.2</v>
      </c>
      <c r="H42">
        <v>26</v>
      </c>
      <c r="I42">
        <v>276.48</v>
      </c>
      <c r="J42">
        <v>100</v>
      </c>
      <c r="K42" t="s">
        <v>103</v>
      </c>
      <c r="L42" t="s">
        <v>42</v>
      </c>
      <c r="M42">
        <v>9</v>
      </c>
      <c r="N42" t="s">
        <v>83</v>
      </c>
      <c r="O42">
        <v>101.93</v>
      </c>
    </row>
    <row r="43" spans="1:15" x14ac:dyDescent="0.5">
      <c r="A43" t="s">
        <v>131</v>
      </c>
      <c r="B43" s="3">
        <v>45420</v>
      </c>
      <c r="C43" t="s">
        <v>37</v>
      </c>
      <c r="D43" t="s">
        <v>38</v>
      </c>
      <c r="E43" t="s">
        <v>97</v>
      </c>
      <c r="F43">
        <v>37</v>
      </c>
      <c r="G43">
        <v>1.4</v>
      </c>
      <c r="H43">
        <v>34</v>
      </c>
      <c r="I43">
        <v>527.46</v>
      </c>
      <c r="J43">
        <v>75</v>
      </c>
      <c r="K43" t="s">
        <v>103</v>
      </c>
      <c r="L43" t="s">
        <v>28</v>
      </c>
      <c r="M43">
        <v>10</v>
      </c>
      <c r="O43">
        <v>213.37</v>
      </c>
    </row>
    <row r="44" spans="1:15" x14ac:dyDescent="0.5">
      <c r="A44" t="s">
        <v>132</v>
      </c>
      <c r="B44" s="1">
        <v>45354</v>
      </c>
      <c r="C44" t="s">
        <v>16</v>
      </c>
      <c r="D44" t="s">
        <v>38</v>
      </c>
      <c r="E44" t="s">
        <v>61</v>
      </c>
      <c r="F44">
        <v>38</v>
      </c>
      <c r="G44">
        <v>1.5</v>
      </c>
      <c r="H44">
        <v>33</v>
      </c>
      <c r="I44">
        <v>350.41</v>
      </c>
      <c r="J44" s="2">
        <v>0.6</v>
      </c>
      <c r="K44" t="s">
        <v>41</v>
      </c>
      <c r="L44" t="s">
        <v>59</v>
      </c>
      <c r="M44">
        <v>3</v>
      </c>
      <c r="N44" t="s">
        <v>43</v>
      </c>
      <c r="O44">
        <v>210.09</v>
      </c>
    </row>
    <row r="45" spans="1:15" x14ac:dyDescent="0.5">
      <c r="A45" t="s">
        <v>133</v>
      </c>
      <c r="B45" s="1">
        <v>45409</v>
      </c>
      <c r="D45" t="s">
        <v>54</v>
      </c>
      <c r="E45" t="s">
        <v>134</v>
      </c>
      <c r="F45">
        <v>34</v>
      </c>
      <c r="G45">
        <v>4.0999999999999996</v>
      </c>
      <c r="H45">
        <v>66</v>
      </c>
      <c r="I45">
        <v>241.76</v>
      </c>
      <c r="J45" s="2">
        <v>0.2</v>
      </c>
      <c r="K45" t="s">
        <v>19</v>
      </c>
      <c r="L45" t="s">
        <v>28</v>
      </c>
      <c r="M45">
        <v>7</v>
      </c>
      <c r="N45" t="s">
        <v>83</v>
      </c>
      <c r="O45">
        <v>229.85</v>
      </c>
    </row>
    <row r="46" spans="1:15" x14ac:dyDescent="0.5">
      <c r="A46" t="s">
        <v>135</v>
      </c>
      <c r="B46" s="1">
        <v>45420</v>
      </c>
      <c r="C46" t="s">
        <v>136</v>
      </c>
      <c r="D46" t="s">
        <v>88</v>
      </c>
      <c r="E46" t="s">
        <v>55</v>
      </c>
      <c r="F46">
        <v>50</v>
      </c>
      <c r="G46">
        <v>3.8</v>
      </c>
      <c r="H46">
        <v>17</v>
      </c>
      <c r="I46">
        <v>996.69</v>
      </c>
      <c r="J46">
        <v>120</v>
      </c>
      <c r="K46" t="s">
        <v>73</v>
      </c>
      <c r="L46" t="s">
        <v>28</v>
      </c>
      <c r="M46">
        <v>10</v>
      </c>
      <c r="N46" t="s">
        <v>51</v>
      </c>
      <c r="O46">
        <v>78.55</v>
      </c>
    </row>
    <row r="47" spans="1:15" x14ac:dyDescent="0.5">
      <c r="A47" t="s">
        <v>137</v>
      </c>
      <c r="B47" s="3">
        <v>45389</v>
      </c>
      <c r="D47" t="s">
        <v>93</v>
      </c>
      <c r="E47" t="s">
        <v>55</v>
      </c>
      <c r="F47">
        <v>65</v>
      </c>
      <c r="G47">
        <v>3.8</v>
      </c>
      <c r="H47">
        <v>56</v>
      </c>
      <c r="I47">
        <v>2495.5300000000002</v>
      </c>
      <c r="J47" s="2">
        <v>0.15</v>
      </c>
      <c r="K47" t="s">
        <v>41</v>
      </c>
      <c r="L47" t="s">
        <v>59</v>
      </c>
      <c r="M47">
        <v>9</v>
      </c>
      <c r="N47" t="s">
        <v>83</v>
      </c>
      <c r="O47">
        <v>18.21</v>
      </c>
    </row>
    <row r="48" spans="1:15" x14ac:dyDescent="0.5">
      <c r="A48" t="s">
        <v>138</v>
      </c>
      <c r="B48" t="s">
        <v>139</v>
      </c>
      <c r="C48" t="s">
        <v>31</v>
      </c>
      <c r="D48" t="s">
        <v>71</v>
      </c>
      <c r="E48" t="s">
        <v>101</v>
      </c>
      <c r="F48">
        <v>59</v>
      </c>
      <c r="G48">
        <v>2.9</v>
      </c>
      <c r="H48" t="s">
        <v>140</v>
      </c>
      <c r="I48">
        <v>765.3</v>
      </c>
      <c r="J48" s="2">
        <v>0.1</v>
      </c>
      <c r="K48" t="s">
        <v>103</v>
      </c>
      <c r="L48" t="s">
        <v>28</v>
      </c>
      <c r="M48">
        <v>6</v>
      </c>
      <c r="N48" t="s">
        <v>29</v>
      </c>
      <c r="O48">
        <v>-34.64</v>
      </c>
    </row>
    <row r="49" spans="1:15" x14ac:dyDescent="0.5">
      <c r="A49" t="s">
        <v>141</v>
      </c>
      <c r="B49" t="s">
        <v>142</v>
      </c>
      <c r="C49" t="s">
        <v>66</v>
      </c>
      <c r="D49" t="s">
        <v>93</v>
      </c>
      <c r="E49" t="s">
        <v>39</v>
      </c>
      <c r="F49">
        <v>20</v>
      </c>
      <c r="G49">
        <v>2.6</v>
      </c>
      <c r="H49">
        <v>52</v>
      </c>
      <c r="J49">
        <v>0</v>
      </c>
      <c r="K49" t="s">
        <v>73</v>
      </c>
      <c r="L49" t="s">
        <v>28</v>
      </c>
      <c r="M49">
        <v>5</v>
      </c>
      <c r="N49" t="s">
        <v>35</v>
      </c>
      <c r="O49">
        <v>161.27000000000001</v>
      </c>
    </row>
    <row r="50" spans="1:15" x14ac:dyDescent="0.5">
      <c r="A50" t="s">
        <v>143</v>
      </c>
      <c r="B50" s="4">
        <v>45367.806944444441</v>
      </c>
      <c r="C50" t="s">
        <v>66</v>
      </c>
      <c r="D50" t="s">
        <v>88</v>
      </c>
      <c r="E50" t="s">
        <v>144</v>
      </c>
      <c r="F50">
        <v>46</v>
      </c>
      <c r="G50">
        <v>4.8</v>
      </c>
      <c r="H50">
        <v>16</v>
      </c>
      <c r="I50">
        <v>742.5</v>
      </c>
      <c r="J50" s="2">
        <v>0.1</v>
      </c>
      <c r="K50" t="s">
        <v>41</v>
      </c>
      <c r="L50" t="s">
        <v>59</v>
      </c>
      <c r="M50">
        <v>6</v>
      </c>
      <c r="N50" t="s">
        <v>51</v>
      </c>
      <c r="O50">
        <v>77.8</v>
      </c>
    </row>
    <row r="51" spans="1:15" x14ac:dyDescent="0.5">
      <c r="A51" t="s">
        <v>145</v>
      </c>
      <c r="B51" s="3">
        <v>45471</v>
      </c>
      <c r="C51" t="s">
        <v>37</v>
      </c>
      <c r="D51" t="s">
        <v>146</v>
      </c>
      <c r="E51" t="s">
        <v>61</v>
      </c>
      <c r="F51">
        <v>50</v>
      </c>
      <c r="G51">
        <v>3.1</v>
      </c>
      <c r="H51" t="s">
        <v>147</v>
      </c>
      <c r="I51" t="s">
        <v>148</v>
      </c>
      <c r="J51" s="2">
        <v>0.6</v>
      </c>
      <c r="K51" t="s">
        <v>41</v>
      </c>
      <c r="L51" t="s">
        <v>28</v>
      </c>
      <c r="M51">
        <v>9</v>
      </c>
      <c r="N51" t="s">
        <v>43</v>
      </c>
      <c r="O51">
        <v>-72.819999999999993</v>
      </c>
    </row>
    <row r="52" spans="1:15" x14ac:dyDescent="0.5">
      <c r="B52" s="1">
        <v>45347</v>
      </c>
      <c r="C52" t="s">
        <v>149</v>
      </c>
      <c r="D52" t="s">
        <v>93</v>
      </c>
      <c r="E52" t="s">
        <v>33</v>
      </c>
      <c r="F52">
        <v>44</v>
      </c>
      <c r="G52">
        <v>4.5999999999999996</v>
      </c>
      <c r="H52">
        <v>63</v>
      </c>
      <c r="I52">
        <v>1014.04</v>
      </c>
      <c r="J52">
        <v>120</v>
      </c>
      <c r="K52" t="s">
        <v>68</v>
      </c>
      <c r="L52" t="s">
        <v>28</v>
      </c>
      <c r="M52">
        <v>1</v>
      </c>
      <c r="N52" t="s">
        <v>21</v>
      </c>
      <c r="O52">
        <v>157.30000000000001</v>
      </c>
    </row>
    <row r="53" spans="1:15" x14ac:dyDescent="0.5">
      <c r="A53" t="s">
        <v>150</v>
      </c>
      <c r="B53" s="1">
        <v>45409</v>
      </c>
      <c r="C53" t="s">
        <v>66</v>
      </c>
      <c r="D53" t="s">
        <v>71</v>
      </c>
      <c r="E53" t="s">
        <v>151</v>
      </c>
      <c r="F53">
        <v>63</v>
      </c>
      <c r="G53">
        <v>2</v>
      </c>
      <c r="I53">
        <v>1164.73</v>
      </c>
      <c r="J53">
        <v>0</v>
      </c>
      <c r="K53" t="s">
        <v>68</v>
      </c>
      <c r="L53" t="s">
        <v>28</v>
      </c>
      <c r="M53">
        <v>6</v>
      </c>
      <c r="N53" t="s">
        <v>35</v>
      </c>
      <c r="O53">
        <v>137.87</v>
      </c>
    </row>
    <row r="54" spans="1:15" x14ac:dyDescent="0.5">
      <c r="A54" t="s">
        <v>152</v>
      </c>
      <c r="B54" s="4">
        <v>45443.248611111114</v>
      </c>
      <c r="C54" t="s">
        <v>153</v>
      </c>
      <c r="D54" t="s">
        <v>71</v>
      </c>
      <c r="E54" t="s">
        <v>33</v>
      </c>
      <c r="F54">
        <v>32</v>
      </c>
      <c r="G54">
        <v>3.8</v>
      </c>
      <c r="H54">
        <v>22</v>
      </c>
      <c r="I54">
        <v>1458.48</v>
      </c>
      <c r="J54">
        <v>50</v>
      </c>
      <c r="K54" t="s">
        <v>41</v>
      </c>
      <c r="L54" t="s">
        <v>28</v>
      </c>
      <c r="M54">
        <v>4</v>
      </c>
      <c r="N54" t="s">
        <v>21</v>
      </c>
      <c r="O54">
        <v>118.96</v>
      </c>
    </row>
    <row r="55" spans="1:15" x14ac:dyDescent="0.5">
      <c r="A55" t="s">
        <v>154</v>
      </c>
      <c r="B55" s="1">
        <v>45389</v>
      </c>
      <c r="C55" t="s">
        <v>81</v>
      </c>
      <c r="D55" t="s">
        <v>58</v>
      </c>
      <c r="E55" t="s">
        <v>67</v>
      </c>
      <c r="F55">
        <v>33</v>
      </c>
      <c r="G55">
        <v>4.0999999999999996</v>
      </c>
      <c r="H55">
        <v>60</v>
      </c>
      <c r="I55">
        <v>854.05</v>
      </c>
      <c r="J55">
        <v>100</v>
      </c>
      <c r="K55" t="s">
        <v>19</v>
      </c>
      <c r="L55" t="s">
        <v>59</v>
      </c>
      <c r="M55">
        <v>10</v>
      </c>
      <c r="N55" t="s">
        <v>155</v>
      </c>
      <c r="O55">
        <v>102.59</v>
      </c>
    </row>
    <row r="56" spans="1:15" x14ac:dyDescent="0.5">
      <c r="A56" t="s">
        <v>156</v>
      </c>
      <c r="B56" s="1">
        <v>45342</v>
      </c>
      <c r="C56" t="s">
        <v>122</v>
      </c>
      <c r="D56" t="s">
        <v>54</v>
      </c>
      <c r="E56" t="s">
        <v>67</v>
      </c>
      <c r="F56">
        <v>52</v>
      </c>
      <c r="G56">
        <v>4.7</v>
      </c>
      <c r="H56">
        <v>22</v>
      </c>
      <c r="I56">
        <v>1366.99</v>
      </c>
      <c r="K56" t="s">
        <v>157</v>
      </c>
      <c r="L56" t="s">
        <v>42</v>
      </c>
      <c r="M56">
        <v>1</v>
      </c>
      <c r="N56" t="s">
        <v>35</v>
      </c>
      <c r="O56">
        <v>123.89</v>
      </c>
    </row>
    <row r="57" spans="1:15" x14ac:dyDescent="0.5">
      <c r="A57" t="s">
        <v>158</v>
      </c>
      <c r="C57" t="s">
        <v>159</v>
      </c>
      <c r="D57" t="s">
        <v>160</v>
      </c>
      <c r="E57" t="s">
        <v>55</v>
      </c>
      <c r="F57">
        <v>27</v>
      </c>
      <c r="G57">
        <v>3.5</v>
      </c>
      <c r="H57">
        <v>60</v>
      </c>
      <c r="I57">
        <v>756.23</v>
      </c>
      <c r="J57" s="2">
        <v>0.5</v>
      </c>
      <c r="K57" t="s">
        <v>41</v>
      </c>
      <c r="L57" t="s">
        <v>28</v>
      </c>
      <c r="M57">
        <v>2</v>
      </c>
      <c r="N57" t="s">
        <v>43</v>
      </c>
    </row>
    <row r="58" spans="1:15" x14ac:dyDescent="0.5">
      <c r="A58" t="s">
        <v>161</v>
      </c>
      <c r="B58" s="4">
        <v>45403.916666666664</v>
      </c>
      <c r="C58" t="s">
        <v>122</v>
      </c>
      <c r="D58" t="s">
        <v>58</v>
      </c>
      <c r="E58" t="s">
        <v>67</v>
      </c>
      <c r="F58">
        <v>52</v>
      </c>
      <c r="G58">
        <v>1.1000000000000001</v>
      </c>
      <c r="H58">
        <v>55</v>
      </c>
      <c r="I58">
        <v>157.27000000000001</v>
      </c>
      <c r="J58" s="2">
        <v>0.5</v>
      </c>
      <c r="K58" t="s">
        <v>19</v>
      </c>
      <c r="L58" t="s">
        <v>28</v>
      </c>
      <c r="M58">
        <v>3</v>
      </c>
      <c r="N58" t="s">
        <v>29</v>
      </c>
      <c r="O58" t="s">
        <v>162</v>
      </c>
    </row>
    <row r="59" spans="1:15" x14ac:dyDescent="0.5">
      <c r="A59" t="s">
        <v>163</v>
      </c>
      <c r="B59" s="4">
        <v>45379.86041666667</v>
      </c>
      <c r="C59" t="s">
        <v>164</v>
      </c>
      <c r="D59" t="s">
        <v>54</v>
      </c>
      <c r="E59" t="s">
        <v>18</v>
      </c>
      <c r="F59">
        <v>23</v>
      </c>
      <c r="G59">
        <v>2.2000000000000002</v>
      </c>
      <c r="H59" t="s">
        <v>165</v>
      </c>
      <c r="I59">
        <v>315.25</v>
      </c>
      <c r="J59">
        <v>150</v>
      </c>
      <c r="K59" t="s">
        <v>68</v>
      </c>
      <c r="L59" t="s">
        <v>28</v>
      </c>
      <c r="M59">
        <v>2</v>
      </c>
      <c r="N59" t="s">
        <v>35</v>
      </c>
      <c r="O59">
        <v>103.81</v>
      </c>
    </row>
    <row r="60" spans="1:15" x14ac:dyDescent="0.5">
      <c r="A60" t="s">
        <v>166</v>
      </c>
      <c r="B60" t="s">
        <v>45</v>
      </c>
      <c r="C60" t="s">
        <v>167</v>
      </c>
      <c r="D60" t="s">
        <v>93</v>
      </c>
      <c r="E60" t="s">
        <v>25</v>
      </c>
      <c r="F60">
        <v>37</v>
      </c>
      <c r="G60">
        <v>1.6</v>
      </c>
      <c r="H60" t="s">
        <v>168</v>
      </c>
      <c r="I60">
        <v>1122.22</v>
      </c>
      <c r="K60" t="s">
        <v>73</v>
      </c>
      <c r="L60" t="s">
        <v>28</v>
      </c>
      <c r="M60">
        <v>7</v>
      </c>
      <c r="N60" t="s">
        <v>83</v>
      </c>
      <c r="O60">
        <v>204.53</v>
      </c>
    </row>
    <row r="61" spans="1:15" x14ac:dyDescent="0.5">
      <c r="A61" t="s">
        <v>169</v>
      </c>
      <c r="B61" s="1">
        <v>45458</v>
      </c>
      <c r="C61" t="s">
        <v>76</v>
      </c>
      <c r="D61" t="s">
        <v>71</v>
      </c>
      <c r="E61" t="s">
        <v>67</v>
      </c>
      <c r="F61">
        <v>43</v>
      </c>
      <c r="G61">
        <v>4.7</v>
      </c>
      <c r="H61" t="s">
        <v>140</v>
      </c>
      <c r="I61">
        <v>548.23</v>
      </c>
      <c r="K61" t="s">
        <v>27</v>
      </c>
      <c r="L61" t="s">
        <v>59</v>
      </c>
      <c r="M61">
        <v>7</v>
      </c>
      <c r="N61" t="s">
        <v>29</v>
      </c>
      <c r="O61">
        <v>-0.13</v>
      </c>
    </row>
    <row r="62" spans="1:15" x14ac:dyDescent="0.5">
      <c r="A62" t="s">
        <v>170</v>
      </c>
      <c r="B62" s="3">
        <v>45310</v>
      </c>
      <c r="C62" t="s">
        <v>81</v>
      </c>
      <c r="D62" t="s">
        <v>71</v>
      </c>
      <c r="E62" t="s">
        <v>18</v>
      </c>
      <c r="F62">
        <v>60</v>
      </c>
      <c r="G62">
        <v>3.6</v>
      </c>
      <c r="I62">
        <v>2460.9899999999998</v>
      </c>
      <c r="J62" s="2">
        <v>0.2</v>
      </c>
      <c r="K62" t="s">
        <v>41</v>
      </c>
      <c r="L62" t="s">
        <v>28</v>
      </c>
      <c r="M62">
        <v>6</v>
      </c>
      <c r="N62" t="s">
        <v>43</v>
      </c>
      <c r="O62">
        <v>147.84</v>
      </c>
    </row>
    <row r="63" spans="1:15" x14ac:dyDescent="0.5">
      <c r="A63" t="s">
        <v>171</v>
      </c>
      <c r="B63" s="3">
        <v>45367</v>
      </c>
      <c r="C63" t="s">
        <v>16</v>
      </c>
      <c r="D63" t="s">
        <v>24</v>
      </c>
      <c r="E63" t="s">
        <v>97</v>
      </c>
      <c r="F63">
        <v>63</v>
      </c>
      <c r="G63">
        <v>4.4000000000000004</v>
      </c>
      <c r="H63">
        <v>36</v>
      </c>
      <c r="I63">
        <v>2333.2199999999998</v>
      </c>
      <c r="J63">
        <v>120</v>
      </c>
      <c r="K63" t="s">
        <v>68</v>
      </c>
      <c r="L63" t="s">
        <v>28</v>
      </c>
      <c r="M63">
        <v>7</v>
      </c>
      <c r="N63" t="s">
        <v>21</v>
      </c>
      <c r="O63">
        <v>68.36</v>
      </c>
    </row>
    <row r="64" spans="1:15" x14ac:dyDescent="0.5">
      <c r="B64" s="1">
        <v>45346</v>
      </c>
      <c r="C64" t="s">
        <v>172</v>
      </c>
      <c r="D64" t="s">
        <v>88</v>
      </c>
      <c r="E64" t="s">
        <v>101</v>
      </c>
      <c r="F64">
        <v>42</v>
      </c>
      <c r="G64">
        <v>3.3</v>
      </c>
      <c r="H64">
        <v>73</v>
      </c>
      <c r="I64">
        <v>1589.32</v>
      </c>
      <c r="J64">
        <v>75</v>
      </c>
      <c r="K64" t="s">
        <v>103</v>
      </c>
      <c r="L64" t="s">
        <v>42</v>
      </c>
      <c r="M64">
        <v>9</v>
      </c>
      <c r="N64" t="s">
        <v>43</v>
      </c>
      <c r="O64">
        <v>46.62</v>
      </c>
    </row>
    <row r="65" spans="1:15" x14ac:dyDescent="0.5">
      <c r="A65" t="s">
        <v>173</v>
      </c>
      <c r="B65" t="s">
        <v>174</v>
      </c>
      <c r="C65" t="s">
        <v>81</v>
      </c>
      <c r="D65" t="s">
        <v>38</v>
      </c>
      <c r="E65" t="s">
        <v>55</v>
      </c>
      <c r="F65">
        <v>44</v>
      </c>
      <c r="G65">
        <v>2.8</v>
      </c>
      <c r="H65" t="s">
        <v>175</v>
      </c>
      <c r="I65">
        <v>193.45</v>
      </c>
      <c r="J65" s="2">
        <v>0.2</v>
      </c>
      <c r="K65" t="s">
        <v>68</v>
      </c>
      <c r="L65" t="s">
        <v>28</v>
      </c>
      <c r="M65">
        <v>9</v>
      </c>
      <c r="N65" t="s">
        <v>83</v>
      </c>
      <c r="O65">
        <v>170.8</v>
      </c>
    </row>
    <row r="66" spans="1:15" x14ac:dyDescent="0.5">
      <c r="A66" t="s">
        <v>176</v>
      </c>
      <c r="B66" s="4">
        <v>45480.929166666669</v>
      </c>
      <c r="C66" t="s">
        <v>177</v>
      </c>
      <c r="D66" t="s">
        <v>93</v>
      </c>
      <c r="E66" t="s">
        <v>25</v>
      </c>
      <c r="F66">
        <v>57</v>
      </c>
      <c r="G66">
        <v>1.7</v>
      </c>
      <c r="H66" t="s">
        <v>178</v>
      </c>
      <c r="I66">
        <v>2056.1999999999998</v>
      </c>
      <c r="J66">
        <v>120</v>
      </c>
      <c r="K66" t="s">
        <v>73</v>
      </c>
      <c r="L66" t="s">
        <v>59</v>
      </c>
      <c r="M66">
        <v>2</v>
      </c>
      <c r="N66" t="s">
        <v>35</v>
      </c>
      <c r="O66">
        <v>223.19</v>
      </c>
    </row>
    <row r="67" spans="1:15" x14ac:dyDescent="0.5">
      <c r="A67" t="s">
        <v>179</v>
      </c>
      <c r="B67" s="1">
        <v>45325</v>
      </c>
      <c r="C67" t="s">
        <v>76</v>
      </c>
      <c r="D67" t="s">
        <v>146</v>
      </c>
      <c r="E67" t="s">
        <v>97</v>
      </c>
      <c r="F67">
        <v>35</v>
      </c>
      <c r="G67">
        <v>4.5</v>
      </c>
      <c r="H67">
        <v>77</v>
      </c>
      <c r="J67">
        <v>150</v>
      </c>
      <c r="K67" t="s">
        <v>19</v>
      </c>
      <c r="L67" t="s">
        <v>59</v>
      </c>
      <c r="M67">
        <v>7</v>
      </c>
      <c r="N67" t="s">
        <v>35</v>
      </c>
      <c r="O67">
        <v>13.59</v>
      </c>
    </row>
    <row r="68" spans="1:15" x14ac:dyDescent="0.5">
      <c r="A68" t="s">
        <v>180</v>
      </c>
      <c r="B68" s="4">
        <v>45379.970138888886</v>
      </c>
      <c r="C68" t="s">
        <v>46</v>
      </c>
      <c r="D68" t="s">
        <v>181</v>
      </c>
      <c r="E68" t="s">
        <v>55</v>
      </c>
      <c r="F68">
        <v>28</v>
      </c>
      <c r="G68">
        <v>4.5</v>
      </c>
      <c r="H68" t="s">
        <v>182</v>
      </c>
      <c r="I68">
        <v>715.93</v>
      </c>
      <c r="J68">
        <v>50</v>
      </c>
      <c r="K68" t="s">
        <v>19</v>
      </c>
      <c r="L68" t="s">
        <v>42</v>
      </c>
      <c r="M68">
        <v>4</v>
      </c>
      <c r="N68" t="s">
        <v>43</v>
      </c>
      <c r="O68">
        <v>91.42</v>
      </c>
    </row>
    <row r="69" spans="1:15" x14ac:dyDescent="0.5">
      <c r="B69" s="3">
        <v>45379</v>
      </c>
      <c r="C69" t="s">
        <v>70</v>
      </c>
      <c r="D69" t="s">
        <v>93</v>
      </c>
      <c r="E69" t="s">
        <v>55</v>
      </c>
      <c r="F69">
        <v>27</v>
      </c>
      <c r="G69">
        <v>3.3</v>
      </c>
      <c r="H69">
        <v>36</v>
      </c>
      <c r="I69">
        <v>1167.44</v>
      </c>
      <c r="J69">
        <v>50</v>
      </c>
      <c r="K69" t="s">
        <v>41</v>
      </c>
      <c r="L69" t="s">
        <v>28</v>
      </c>
      <c r="M69">
        <v>6</v>
      </c>
      <c r="N69" t="s">
        <v>43</v>
      </c>
      <c r="O69" t="s">
        <v>183</v>
      </c>
    </row>
    <row r="70" spans="1:15" x14ac:dyDescent="0.5">
      <c r="A70" t="s">
        <v>184</v>
      </c>
      <c r="B70" s="4">
        <v>45447.404861111114</v>
      </c>
      <c r="D70" t="s">
        <v>54</v>
      </c>
      <c r="E70" t="s">
        <v>185</v>
      </c>
      <c r="F70">
        <v>25</v>
      </c>
      <c r="G70">
        <v>3.6</v>
      </c>
      <c r="H70" t="s">
        <v>186</v>
      </c>
      <c r="I70">
        <v>2446.92</v>
      </c>
      <c r="J70">
        <v>50</v>
      </c>
      <c r="K70" t="s">
        <v>41</v>
      </c>
      <c r="L70" t="s">
        <v>42</v>
      </c>
      <c r="M70">
        <v>1</v>
      </c>
      <c r="N70" t="s">
        <v>51</v>
      </c>
      <c r="O70" t="s">
        <v>187</v>
      </c>
    </row>
    <row r="71" spans="1:15" x14ac:dyDescent="0.5">
      <c r="A71" t="s">
        <v>188</v>
      </c>
      <c r="B71" s="4">
        <v>45452.712500000001</v>
      </c>
      <c r="C71" t="s">
        <v>149</v>
      </c>
      <c r="D71" t="s">
        <v>146</v>
      </c>
      <c r="E71" t="s">
        <v>25</v>
      </c>
      <c r="F71">
        <v>59</v>
      </c>
      <c r="G71">
        <v>1.3</v>
      </c>
      <c r="H71">
        <v>45</v>
      </c>
      <c r="I71" t="s">
        <v>189</v>
      </c>
      <c r="J71">
        <v>100</v>
      </c>
      <c r="K71" t="s">
        <v>103</v>
      </c>
      <c r="L71" t="s">
        <v>42</v>
      </c>
      <c r="M71">
        <v>3</v>
      </c>
      <c r="N71" t="s">
        <v>43</v>
      </c>
      <c r="O71">
        <v>178.39</v>
      </c>
    </row>
    <row r="72" spans="1:15" x14ac:dyDescent="0.5">
      <c r="A72" t="s">
        <v>190</v>
      </c>
      <c r="B72" s="4">
        <v>45491.381944444445</v>
      </c>
      <c r="C72" t="s">
        <v>191</v>
      </c>
      <c r="D72" t="s">
        <v>54</v>
      </c>
      <c r="E72" t="s">
        <v>97</v>
      </c>
      <c r="F72">
        <v>28</v>
      </c>
      <c r="G72">
        <v>2</v>
      </c>
      <c r="H72" t="s">
        <v>175</v>
      </c>
      <c r="I72" t="s">
        <v>192</v>
      </c>
      <c r="J72">
        <v>0</v>
      </c>
      <c r="K72" t="s">
        <v>193</v>
      </c>
      <c r="L72" t="s">
        <v>28</v>
      </c>
      <c r="M72">
        <v>1</v>
      </c>
      <c r="N72" t="s">
        <v>51</v>
      </c>
      <c r="O72">
        <v>136.38</v>
      </c>
    </row>
    <row r="73" spans="1:15" x14ac:dyDescent="0.5">
      <c r="A73" t="s">
        <v>194</v>
      </c>
      <c r="B73" s="3">
        <v>45373</v>
      </c>
      <c r="C73" t="s">
        <v>122</v>
      </c>
      <c r="D73" t="s">
        <v>88</v>
      </c>
      <c r="E73" t="s">
        <v>67</v>
      </c>
      <c r="F73">
        <v>47</v>
      </c>
      <c r="H73" t="s">
        <v>175</v>
      </c>
      <c r="I73">
        <v>1987.13</v>
      </c>
      <c r="J73" s="2">
        <v>0.2</v>
      </c>
      <c r="K73" t="s">
        <v>103</v>
      </c>
      <c r="L73" t="s">
        <v>28</v>
      </c>
      <c r="O73">
        <v>98.71</v>
      </c>
    </row>
    <row r="74" spans="1:15" x14ac:dyDescent="0.5">
      <c r="A74" t="s">
        <v>143</v>
      </c>
      <c r="B74" s="1">
        <v>45292</v>
      </c>
      <c r="C74" t="s">
        <v>31</v>
      </c>
      <c r="D74" t="s">
        <v>24</v>
      </c>
      <c r="E74" t="s">
        <v>101</v>
      </c>
      <c r="F74">
        <v>62</v>
      </c>
      <c r="G74">
        <v>2.8</v>
      </c>
      <c r="H74">
        <v>27</v>
      </c>
      <c r="I74">
        <v>1322.92</v>
      </c>
      <c r="J74" s="2">
        <v>0.6</v>
      </c>
      <c r="K74" t="s">
        <v>103</v>
      </c>
      <c r="L74" t="s">
        <v>59</v>
      </c>
      <c r="M74">
        <v>6</v>
      </c>
      <c r="N74" t="s">
        <v>83</v>
      </c>
      <c r="O74">
        <v>231.37</v>
      </c>
    </row>
    <row r="75" spans="1:15" x14ac:dyDescent="0.5">
      <c r="A75" t="s">
        <v>195</v>
      </c>
      <c r="B75" t="s">
        <v>196</v>
      </c>
      <c r="C75" t="s">
        <v>76</v>
      </c>
      <c r="D75" t="s">
        <v>54</v>
      </c>
      <c r="E75" t="s">
        <v>197</v>
      </c>
      <c r="F75">
        <v>38</v>
      </c>
      <c r="G75">
        <v>3.8</v>
      </c>
      <c r="H75">
        <v>65</v>
      </c>
      <c r="I75">
        <v>1342.03</v>
      </c>
      <c r="J75" s="2">
        <v>0.15</v>
      </c>
      <c r="K75" t="s">
        <v>19</v>
      </c>
      <c r="L75" t="s">
        <v>28</v>
      </c>
      <c r="M75">
        <v>3</v>
      </c>
      <c r="O75">
        <v>194.02</v>
      </c>
    </row>
    <row r="76" spans="1:15" x14ac:dyDescent="0.5">
      <c r="A76" t="s">
        <v>198</v>
      </c>
      <c r="B76" s="3">
        <v>45387</v>
      </c>
      <c r="C76" t="s">
        <v>199</v>
      </c>
      <c r="D76" t="s">
        <v>93</v>
      </c>
      <c r="E76" t="s">
        <v>97</v>
      </c>
      <c r="G76">
        <v>1.7</v>
      </c>
      <c r="H76">
        <v>65</v>
      </c>
      <c r="I76">
        <v>1300.78</v>
      </c>
      <c r="J76">
        <v>75</v>
      </c>
      <c r="K76" t="s">
        <v>68</v>
      </c>
      <c r="L76" t="s">
        <v>42</v>
      </c>
      <c r="M76">
        <v>5</v>
      </c>
      <c r="N76" t="s">
        <v>43</v>
      </c>
      <c r="O76">
        <v>-59.88</v>
      </c>
    </row>
    <row r="77" spans="1:15" x14ac:dyDescent="0.5">
      <c r="A77" t="s">
        <v>200</v>
      </c>
      <c r="B77" s="4">
        <v>45426.354166666664</v>
      </c>
      <c r="C77" t="s">
        <v>37</v>
      </c>
      <c r="D77" t="s">
        <v>88</v>
      </c>
      <c r="E77" t="s">
        <v>61</v>
      </c>
      <c r="F77">
        <v>35</v>
      </c>
      <c r="H77">
        <v>60</v>
      </c>
      <c r="I77">
        <v>1945.08</v>
      </c>
      <c r="J77">
        <v>0</v>
      </c>
      <c r="K77" t="s">
        <v>68</v>
      </c>
      <c r="L77" t="s">
        <v>28</v>
      </c>
      <c r="M77">
        <v>7</v>
      </c>
      <c r="N77" t="s">
        <v>83</v>
      </c>
      <c r="O77">
        <v>-22.68</v>
      </c>
    </row>
    <row r="78" spans="1:15" x14ac:dyDescent="0.5">
      <c r="A78" t="s">
        <v>201</v>
      </c>
      <c r="C78" t="s">
        <v>31</v>
      </c>
      <c r="D78" t="s">
        <v>24</v>
      </c>
      <c r="E78" t="s">
        <v>39</v>
      </c>
      <c r="G78">
        <v>1.8</v>
      </c>
      <c r="H78" t="s">
        <v>202</v>
      </c>
      <c r="I78">
        <v>542.35</v>
      </c>
      <c r="J78">
        <v>0</v>
      </c>
      <c r="K78" t="s">
        <v>19</v>
      </c>
      <c r="L78" t="s">
        <v>28</v>
      </c>
      <c r="M78">
        <v>6</v>
      </c>
      <c r="N78" t="s">
        <v>29</v>
      </c>
      <c r="O78">
        <v>-46.66</v>
      </c>
    </row>
    <row r="79" spans="1:15" x14ac:dyDescent="0.5">
      <c r="A79" t="s">
        <v>203</v>
      </c>
      <c r="B79" s="3">
        <v>45403</v>
      </c>
      <c r="C79" t="s">
        <v>112</v>
      </c>
      <c r="D79" t="s">
        <v>146</v>
      </c>
      <c r="E79" t="s">
        <v>33</v>
      </c>
      <c r="F79">
        <v>18</v>
      </c>
      <c r="G79">
        <v>4.8</v>
      </c>
      <c r="H79">
        <v>19</v>
      </c>
      <c r="I79">
        <v>553.35</v>
      </c>
      <c r="J79">
        <v>120</v>
      </c>
      <c r="K79" t="s">
        <v>68</v>
      </c>
      <c r="L79" t="s">
        <v>59</v>
      </c>
      <c r="M79">
        <v>3</v>
      </c>
      <c r="N79" t="s">
        <v>29</v>
      </c>
      <c r="O79">
        <v>153.96</v>
      </c>
    </row>
    <row r="80" spans="1:15" x14ac:dyDescent="0.5">
      <c r="A80" t="s">
        <v>204</v>
      </c>
      <c r="B80" s="1">
        <v>45359</v>
      </c>
      <c r="C80" t="s">
        <v>16</v>
      </c>
      <c r="D80" t="s">
        <v>24</v>
      </c>
      <c r="E80" t="s">
        <v>67</v>
      </c>
      <c r="F80">
        <v>54</v>
      </c>
      <c r="G80">
        <v>3.7</v>
      </c>
      <c r="H80" t="s">
        <v>165</v>
      </c>
      <c r="K80" t="s">
        <v>73</v>
      </c>
      <c r="L80" t="s">
        <v>28</v>
      </c>
      <c r="M80">
        <v>2</v>
      </c>
      <c r="N80" t="s">
        <v>83</v>
      </c>
    </row>
    <row r="81" spans="1:15" x14ac:dyDescent="0.5">
      <c r="A81" t="s">
        <v>205</v>
      </c>
      <c r="B81" s="1">
        <v>45403</v>
      </c>
      <c r="C81" t="s">
        <v>76</v>
      </c>
      <c r="D81" t="s">
        <v>88</v>
      </c>
      <c r="E81" t="s">
        <v>39</v>
      </c>
      <c r="F81">
        <v>18</v>
      </c>
      <c r="G81">
        <v>2.2000000000000002</v>
      </c>
      <c r="H81">
        <v>76</v>
      </c>
      <c r="J81" s="2">
        <v>0.2</v>
      </c>
      <c r="K81" t="s">
        <v>19</v>
      </c>
      <c r="L81" t="s">
        <v>28</v>
      </c>
      <c r="M81">
        <v>9</v>
      </c>
      <c r="N81" t="s">
        <v>43</v>
      </c>
      <c r="O81">
        <v>41.9</v>
      </c>
    </row>
    <row r="82" spans="1:15" x14ac:dyDescent="0.5">
      <c r="A82" t="s">
        <v>206</v>
      </c>
      <c r="B82" t="s">
        <v>207</v>
      </c>
      <c r="C82" t="s">
        <v>136</v>
      </c>
      <c r="D82" t="s">
        <v>88</v>
      </c>
      <c r="E82" t="s">
        <v>39</v>
      </c>
      <c r="F82">
        <v>48</v>
      </c>
      <c r="G82">
        <v>1.9</v>
      </c>
      <c r="H82">
        <v>65</v>
      </c>
      <c r="I82">
        <v>2268.61</v>
      </c>
      <c r="J82">
        <v>120</v>
      </c>
      <c r="K82" t="s">
        <v>103</v>
      </c>
      <c r="L82" t="s">
        <v>28</v>
      </c>
      <c r="M82">
        <v>4</v>
      </c>
      <c r="O82">
        <v>-54.14</v>
      </c>
    </row>
    <row r="83" spans="1:15" x14ac:dyDescent="0.5">
      <c r="A83" t="s">
        <v>208</v>
      </c>
      <c r="B83" s="1">
        <v>45329</v>
      </c>
      <c r="C83" t="s">
        <v>172</v>
      </c>
      <c r="D83" t="s">
        <v>71</v>
      </c>
      <c r="E83" t="s">
        <v>39</v>
      </c>
      <c r="F83">
        <v>44</v>
      </c>
      <c r="G83">
        <v>3.3</v>
      </c>
      <c r="H83">
        <v>27</v>
      </c>
      <c r="I83">
        <v>2321.33</v>
      </c>
      <c r="J83" s="2">
        <v>0.2</v>
      </c>
      <c r="K83" t="s">
        <v>103</v>
      </c>
      <c r="L83" t="s">
        <v>28</v>
      </c>
      <c r="M83">
        <v>7</v>
      </c>
      <c r="N83" t="s">
        <v>35</v>
      </c>
      <c r="O83">
        <v>52.57</v>
      </c>
    </row>
    <row r="84" spans="1:15" x14ac:dyDescent="0.5">
      <c r="A84" t="s">
        <v>209</v>
      </c>
      <c r="B84" s="3">
        <v>45304</v>
      </c>
      <c r="D84" t="s">
        <v>54</v>
      </c>
      <c r="E84" t="s">
        <v>97</v>
      </c>
      <c r="F84">
        <v>38</v>
      </c>
      <c r="G84">
        <v>2.7</v>
      </c>
      <c r="H84">
        <v>39</v>
      </c>
      <c r="I84">
        <v>1171.29</v>
      </c>
      <c r="J84">
        <v>100</v>
      </c>
      <c r="K84" t="s">
        <v>103</v>
      </c>
      <c r="L84" t="s">
        <v>42</v>
      </c>
      <c r="M84">
        <v>9</v>
      </c>
      <c r="O84">
        <v>-16.39</v>
      </c>
    </row>
    <row r="85" spans="1:15" x14ac:dyDescent="0.5">
      <c r="A85" t="s">
        <v>210</v>
      </c>
      <c r="B85" s="3">
        <v>45408</v>
      </c>
      <c r="C85" t="s">
        <v>31</v>
      </c>
      <c r="D85" t="s">
        <v>93</v>
      </c>
      <c r="E85" t="s">
        <v>67</v>
      </c>
      <c r="F85">
        <v>28</v>
      </c>
      <c r="G85">
        <v>2</v>
      </c>
      <c r="H85">
        <v>26</v>
      </c>
      <c r="I85">
        <v>798.47</v>
      </c>
      <c r="J85" s="2">
        <v>0.6</v>
      </c>
      <c r="K85" t="s">
        <v>68</v>
      </c>
      <c r="L85" t="s">
        <v>59</v>
      </c>
      <c r="M85">
        <v>1</v>
      </c>
      <c r="N85" t="s">
        <v>43</v>
      </c>
    </row>
    <row r="86" spans="1:15" x14ac:dyDescent="0.5">
      <c r="A86" t="s">
        <v>211</v>
      </c>
      <c r="B86" s="1">
        <v>45370</v>
      </c>
      <c r="C86" t="s">
        <v>70</v>
      </c>
      <c r="D86" t="s">
        <v>88</v>
      </c>
      <c r="E86" t="s">
        <v>18</v>
      </c>
      <c r="F86">
        <v>56</v>
      </c>
      <c r="G86">
        <v>2.2000000000000002</v>
      </c>
      <c r="H86" t="s">
        <v>165</v>
      </c>
      <c r="I86">
        <v>920.36</v>
      </c>
      <c r="J86" s="2">
        <v>0.2</v>
      </c>
      <c r="K86" t="s">
        <v>73</v>
      </c>
      <c r="L86" t="s">
        <v>42</v>
      </c>
      <c r="M86">
        <v>10</v>
      </c>
      <c r="N86" t="s">
        <v>43</v>
      </c>
      <c r="O86">
        <v>158.02000000000001</v>
      </c>
    </row>
    <row r="87" spans="1:15" x14ac:dyDescent="0.5">
      <c r="A87" t="s">
        <v>212</v>
      </c>
      <c r="B87" t="s">
        <v>213</v>
      </c>
      <c r="C87" t="s">
        <v>46</v>
      </c>
      <c r="D87" t="s">
        <v>58</v>
      </c>
      <c r="E87" t="s">
        <v>61</v>
      </c>
      <c r="F87">
        <v>29</v>
      </c>
      <c r="G87">
        <v>2.9</v>
      </c>
      <c r="H87">
        <v>38</v>
      </c>
      <c r="I87">
        <v>2373.6799999999998</v>
      </c>
      <c r="J87">
        <v>50</v>
      </c>
      <c r="K87" t="s">
        <v>73</v>
      </c>
      <c r="L87" t="s">
        <v>59</v>
      </c>
      <c r="M87">
        <v>2</v>
      </c>
      <c r="N87" t="s">
        <v>43</v>
      </c>
      <c r="O87">
        <v>111.5</v>
      </c>
    </row>
    <row r="88" spans="1:15" x14ac:dyDescent="0.5">
      <c r="A88" t="s">
        <v>214</v>
      </c>
      <c r="B88" t="s">
        <v>215</v>
      </c>
      <c r="C88" t="s">
        <v>23</v>
      </c>
      <c r="D88" t="s">
        <v>38</v>
      </c>
      <c r="E88" t="s">
        <v>67</v>
      </c>
      <c r="F88">
        <v>39</v>
      </c>
      <c r="G88">
        <v>1.7</v>
      </c>
      <c r="H88">
        <v>15</v>
      </c>
      <c r="I88">
        <v>1195.8900000000001</v>
      </c>
      <c r="J88">
        <v>120</v>
      </c>
      <c r="K88" t="s">
        <v>68</v>
      </c>
      <c r="L88" t="s">
        <v>28</v>
      </c>
      <c r="M88">
        <v>8</v>
      </c>
      <c r="O88">
        <v>96.15</v>
      </c>
    </row>
    <row r="89" spans="1:15" x14ac:dyDescent="0.5">
      <c r="A89" t="s">
        <v>216</v>
      </c>
      <c r="B89" s="1">
        <v>45485</v>
      </c>
      <c r="D89" t="s">
        <v>58</v>
      </c>
      <c r="E89" t="s">
        <v>97</v>
      </c>
      <c r="F89">
        <v>37</v>
      </c>
      <c r="G89">
        <v>2.8</v>
      </c>
      <c r="H89">
        <v>58</v>
      </c>
      <c r="I89">
        <v>1152.1199999999999</v>
      </c>
      <c r="J89" s="2">
        <v>0.5</v>
      </c>
      <c r="K89" t="s">
        <v>73</v>
      </c>
      <c r="M89">
        <v>3</v>
      </c>
      <c r="N89" t="s">
        <v>35</v>
      </c>
      <c r="O89">
        <v>-24.24</v>
      </c>
    </row>
    <row r="90" spans="1:15" x14ac:dyDescent="0.5">
      <c r="A90" t="s">
        <v>217</v>
      </c>
      <c r="B90" s="4">
        <v>45357.760416666664</v>
      </c>
      <c r="C90" t="s">
        <v>218</v>
      </c>
      <c r="D90" t="s">
        <v>93</v>
      </c>
      <c r="E90" t="s">
        <v>67</v>
      </c>
      <c r="G90">
        <v>1.4</v>
      </c>
      <c r="H90">
        <v>32</v>
      </c>
      <c r="I90">
        <v>1116.81</v>
      </c>
      <c r="J90">
        <v>120</v>
      </c>
      <c r="K90" t="s">
        <v>19</v>
      </c>
      <c r="L90" t="s">
        <v>28</v>
      </c>
      <c r="M90">
        <v>4</v>
      </c>
      <c r="N90" t="s">
        <v>83</v>
      </c>
      <c r="O90">
        <v>-67</v>
      </c>
    </row>
    <row r="91" spans="1:15" x14ac:dyDescent="0.5">
      <c r="A91" t="s">
        <v>219</v>
      </c>
      <c r="C91" t="s">
        <v>112</v>
      </c>
      <c r="D91" t="s">
        <v>126</v>
      </c>
      <c r="E91" t="s">
        <v>97</v>
      </c>
      <c r="F91">
        <v>34</v>
      </c>
      <c r="G91">
        <v>1.4</v>
      </c>
      <c r="H91" t="s">
        <v>220</v>
      </c>
      <c r="I91">
        <v>2148.35</v>
      </c>
      <c r="J91">
        <v>100</v>
      </c>
      <c r="K91" t="s">
        <v>27</v>
      </c>
      <c r="L91" t="s">
        <v>28</v>
      </c>
      <c r="M91">
        <v>6</v>
      </c>
      <c r="N91" t="s">
        <v>43</v>
      </c>
      <c r="O91">
        <v>161.91</v>
      </c>
    </row>
    <row r="92" spans="1:15" x14ac:dyDescent="0.5">
      <c r="A92" t="s">
        <v>221</v>
      </c>
      <c r="B92" s="1">
        <v>45394</v>
      </c>
      <c r="C92" t="s">
        <v>70</v>
      </c>
      <c r="D92" t="s">
        <v>49</v>
      </c>
      <c r="E92" t="s">
        <v>33</v>
      </c>
      <c r="F92">
        <v>46</v>
      </c>
      <c r="G92">
        <v>2.5</v>
      </c>
      <c r="H92">
        <v>18</v>
      </c>
      <c r="I92">
        <v>2172.9299999999998</v>
      </c>
      <c r="J92">
        <v>50</v>
      </c>
      <c r="K92" t="s">
        <v>41</v>
      </c>
      <c r="L92" t="s">
        <v>28</v>
      </c>
      <c r="N92" t="s">
        <v>29</v>
      </c>
      <c r="O92">
        <v>158.85</v>
      </c>
    </row>
    <row r="93" spans="1:15" x14ac:dyDescent="0.5">
      <c r="A93" t="s">
        <v>222</v>
      </c>
      <c r="B93" s="4">
        <v>45424.743750000001</v>
      </c>
      <c r="C93" t="s">
        <v>122</v>
      </c>
      <c r="D93" t="s">
        <v>71</v>
      </c>
      <c r="E93" t="s">
        <v>78</v>
      </c>
      <c r="F93">
        <v>49</v>
      </c>
      <c r="G93">
        <v>1.3</v>
      </c>
      <c r="H93">
        <v>45</v>
      </c>
      <c r="I93">
        <v>907.53</v>
      </c>
      <c r="J93">
        <v>120</v>
      </c>
      <c r="K93" t="s">
        <v>27</v>
      </c>
      <c r="L93" t="s">
        <v>28</v>
      </c>
      <c r="M93">
        <v>8</v>
      </c>
      <c r="N93" t="s">
        <v>83</v>
      </c>
      <c r="O93">
        <v>135.61000000000001</v>
      </c>
    </row>
    <row r="94" spans="1:15" x14ac:dyDescent="0.5">
      <c r="A94" t="s">
        <v>223</v>
      </c>
      <c r="B94" s="4">
        <v>45292.129166666666</v>
      </c>
      <c r="C94" t="s">
        <v>122</v>
      </c>
      <c r="D94" t="s">
        <v>24</v>
      </c>
      <c r="E94" t="s">
        <v>25</v>
      </c>
      <c r="F94">
        <v>63</v>
      </c>
      <c r="G94">
        <v>3.9</v>
      </c>
      <c r="H94" t="s">
        <v>102</v>
      </c>
      <c r="J94" s="2">
        <v>0.2</v>
      </c>
      <c r="K94" t="s">
        <v>103</v>
      </c>
      <c r="L94" t="s">
        <v>42</v>
      </c>
      <c r="M94">
        <v>7</v>
      </c>
      <c r="N94" t="s">
        <v>21</v>
      </c>
      <c r="O94">
        <v>-40.15</v>
      </c>
    </row>
    <row r="95" spans="1:15" x14ac:dyDescent="0.5">
      <c r="A95" t="s">
        <v>224</v>
      </c>
      <c r="B95" s="1">
        <v>45340</v>
      </c>
      <c r="D95" t="s">
        <v>146</v>
      </c>
      <c r="E95" t="s">
        <v>78</v>
      </c>
      <c r="F95">
        <v>21</v>
      </c>
      <c r="G95">
        <v>2.7</v>
      </c>
      <c r="H95">
        <v>80</v>
      </c>
      <c r="I95">
        <v>1978.97</v>
      </c>
      <c r="J95">
        <v>50</v>
      </c>
      <c r="K95" t="s">
        <v>27</v>
      </c>
      <c r="L95" t="s">
        <v>28</v>
      </c>
      <c r="M95">
        <v>10</v>
      </c>
      <c r="N95" t="s">
        <v>29</v>
      </c>
      <c r="O95">
        <v>237.99</v>
      </c>
    </row>
    <row r="96" spans="1:15" x14ac:dyDescent="0.5">
      <c r="A96" t="s">
        <v>225</v>
      </c>
      <c r="B96" s="4">
        <v>45397.856249999997</v>
      </c>
      <c r="C96" t="s">
        <v>31</v>
      </c>
      <c r="D96" t="s">
        <v>88</v>
      </c>
      <c r="E96" t="s">
        <v>101</v>
      </c>
      <c r="F96">
        <v>29</v>
      </c>
      <c r="G96">
        <v>3.8</v>
      </c>
      <c r="H96">
        <v>29</v>
      </c>
      <c r="I96">
        <v>1930.64</v>
      </c>
      <c r="J96">
        <v>150</v>
      </c>
      <c r="K96" t="s">
        <v>27</v>
      </c>
      <c r="L96" t="s">
        <v>59</v>
      </c>
      <c r="O96">
        <v>-32.04</v>
      </c>
    </row>
    <row r="97" spans="1:15" x14ac:dyDescent="0.5">
      <c r="A97" t="s">
        <v>226</v>
      </c>
      <c r="B97" s="4">
        <v>45333.406944444447</v>
      </c>
      <c r="C97" t="s">
        <v>136</v>
      </c>
      <c r="D97" t="s">
        <v>17</v>
      </c>
      <c r="E97" t="s">
        <v>18</v>
      </c>
      <c r="F97">
        <v>62</v>
      </c>
      <c r="G97">
        <v>3.7</v>
      </c>
      <c r="H97">
        <v>64</v>
      </c>
      <c r="I97">
        <v>1111.43</v>
      </c>
      <c r="J97">
        <v>120</v>
      </c>
      <c r="L97" t="s">
        <v>59</v>
      </c>
      <c r="M97">
        <v>8</v>
      </c>
      <c r="N97" t="s">
        <v>35</v>
      </c>
      <c r="O97">
        <v>133.72</v>
      </c>
    </row>
    <row r="98" spans="1:15" x14ac:dyDescent="0.5">
      <c r="A98" t="s">
        <v>227</v>
      </c>
      <c r="B98" s="1">
        <v>45490</v>
      </c>
      <c r="C98" t="s">
        <v>228</v>
      </c>
      <c r="D98" t="s">
        <v>160</v>
      </c>
      <c r="E98" t="s">
        <v>101</v>
      </c>
      <c r="F98">
        <v>39</v>
      </c>
      <c r="G98">
        <v>4.7</v>
      </c>
      <c r="I98">
        <v>2330.14</v>
      </c>
      <c r="J98">
        <v>150</v>
      </c>
      <c r="K98" t="s">
        <v>103</v>
      </c>
      <c r="L98" t="s">
        <v>28</v>
      </c>
      <c r="M98">
        <v>4</v>
      </c>
      <c r="N98" t="s">
        <v>35</v>
      </c>
      <c r="O98">
        <v>-27.41</v>
      </c>
    </row>
    <row r="99" spans="1:15" x14ac:dyDescent="0.5">
      <c r="A99" t="s">
        <v>229</v>
      </c>
      <c r="B99" t="s">
        <v>230</v>
      </c>
      <c r="C99" t="s">
        <v>76</v>
      </c>
      <c r="D99" t="s">
        <v>88</v>
      </c>
      <c r="E99" t="s">
        <v>61</v>
      </c>
      <c r="F99">
        <v>20</v>
      </c>
      <c r="G99">
        <v>2.2999999999999998</v>
      </c>
      <c r="H99">
        <v>29</v>
      </c>
      <c r="I99">
        <v>1038.3800000000001</v>
      </c>
      <c r="J99" s="2">
        <v>0.6</v>
      </c>
      <c r="K99" t="s">
        <v>73</v>
      </c>
      <c r="L99" t="s">
        <v>59</v>
      </c>
      <c r="M99">
        <v>2</v>
      </c>
      <c r="N99" t="s">
        <v>35</v>
      </c>
      <c r="O99">
        <v>95.96</v>
      </c>
    </row>
    <row r="100" spans="1:15" x14ac:dyDescent="0.5">
      <c r="A100" t="s">
        <v>231</v>
      </c>
      <c r="B100" s="3">
        <v>45346</v>
      </c>
      <c r="C100" t="s">
        <v>66</v>
      </c>
      <c r="D100" t="s">
        <v>93</v>
      </c>
      <c r="F100">
        <v>29</v>
      </c>
      <c r="G100">
        <v>3.2</v>
      </c>
      <c r="H100">
        <v>44</v>
      </c>
      <c r="I100">
        <v>2288.15</v>
      </c>
      <c r="J100">
        <v>100</v>
      </c>
      <c r="K100" t="s">
        <v>41</v>
      </c>
      <c r="L100" t="s">
        <v>28</v>
      </c>
      <c r="M100">
        <v>10</v>
      </c>
      <c r="N100" t="s">
        <v>21</v>
      </c>
      <c r="O100">
        <v>226.26</v>
      </c>
    </row>
    <row r="101" spans="1:15" x14ac:dyDescent="0.5">
      <c r="A101" t="s">
        <v>232</v>
      </c>
      <c r="B101" s="4">
        <v>45314.400000000001</v>
      </c>
      <c r="C101" t="s">
        <v>233</v>
      </c>
      <c r="D101" t="s">
        <v>49</v>
      </c>
      <c r="E101" t="s">
        <v>18</v>
      </c>
      <c r="F101">
        <v>64</v>
      </c>
      <c r="G101">
        <v>4.8</v>
      </c>
      <c r="I101" t="s">
        <v>234</v>
      </c>
      <c r="K101" t="s">
        <v>103</v>
      </c>
      <c r="L101" t="s">
        <v>59</v>
      </c>
      <c r="M101">
        <v>4</v>
      </c>
      <c r="N101" t="s">
        <v>43</v>
      </c>
      <c r="O101">
        <v>-32.99</v>
      </c>
    </row>
    <row r="102" spans="1:15" x14ac:dyDescent="0.5">
      <c r="A102" t="s">
        <v>235</v>
      </c>
      <c r="B102" s="4">
        <v>45321.257638888892</v>
      </c>
      <c r="C102" t="s">
        <v>122</v>
      </c>
      <c r="D102" t="s">
        <v>236</v>
      </c>
      <c r="E102" t="s">
        <v>97</v>
      </c>
      <c r="F102">
        <v>40</v>
      </c>
      <c r="G102">
        <v>3.6</v>
      </c>
      <c r="H102" t="s">
        <v>237</v>
      </c>
      <c r="I102">
        <v>286.14999999999998</v>
      </c>
      <c r="J102">
        <v>75</v>
      </c>
      <c r="K102" t="s">
        <v>103</v>
      </c>
      <c r="L102" t="s">
        <v>28</v>
      </c>
      <c r="M102">
        <v>1</v>
      </c>
      <c r="N102" t="s">
        <v>83</v>
      </c>
      <c r="O102">
        <v>164.14</v>
      </c>
    </row>
    <row r="103" spans="1:15" x14ac:dyDescent="0.5">
      <c r="A103" t="s">
        <v>238</v>
      </c>
      <c r="B103" s="3">
        <v>45479</v>
      </c>
      <c r="C103" t="s">
        <v>81</v>
      </c>
      <c r="D103" t="s">
        <v>146</v>
      </c>
      <c r="E103" t="s">
        <v>18</v>
      </c>
      <c r="F103">
        <v>19</v>
      </c>
      <c r="G103">
        <v>3.5</v>
      </c>
      <c r="H103">
        <v>66</v>
      </c>
      <c r="I103">
        <v>1950.7</v>
      </c>
      <c r="K103" t="s">
        <v>73</v>
      </c>
      <c r="L103" t="s">
        <v>42</v>
      </c>
      <c r="M103">
        <v>5</v>
      </c>
      <c r="N103" t="s">
        <v>35</v>
      </c>
      <c r="O103">
        <v>50.94</v>
      </c>
    </row>
    <row r="104" spans="1:15" x14ac:dyDescent="0.5">
      <c r="A104" t="s">
        <v>239</v>
      </c>
      <c r="B104" s="4">
        <v>45449.23541666667</v>
      </c>
      <c r="C104" t="s">
        <v>136</v>
      </c>
      <c r="D104" t="s">
        <v>49</v>
      </c>
      <c r="E104" t="s">
        <v>25</v>
      </c>
      <c r="F104">
        <v>60</v>
      </c>
      <c r="G104">
        <v>4.5999999999999996</v>
      </c>
      <c r="H104">
        <v>75</v>
      </c>
      <c r="I104">
        <v>2304.61</v>
      </c>
      <c r="K104" t="s">
        <v>27</v>
      </c>
      <c r="L104" t="s">
        <v>59</v>
      </c>
      <c r="M104">
        <v>3</v>
      </c>
      <c r="N104" t="s">
        <v>43</v>
      </c>
      <c r="O104">
        <v>135.6</v>
      </c>
    </row>
    <row r="105" spans="1:15" x14ac:dyDescent="0.5">
      <c r="A105" t="s">
        <v>240</v>
      </c>
      <c r="B105" t="s">
        <v>207</v>
      </c>
      <c r="C105" t="s">
        <v>76</v>
      </c>
      <c r="D105" t="s">
        <v>49</v>
      </c>
      <c r="E105" t="s">
        <v>101</v>
      </c>
      <c r="F105">
        <v>25</v>
      </c>
      <c r="G105">
        <v>2.7</v>
      </c>
      <c r="H105">
        <v>29</v>
      </c>
      <c r="I105">
        <v>1266.01</v>
      </c>
      <c r="J105" s="2">
        <v>0.15</v>
      </c>
      <c r="K105" t="s">
        <v>157</v>
      </c>
      <c r="L105" t="s">
        <v>28</v>
      </c>
      <c r="M105">
        <v>9</v>
      </c>
      <c r="N105" t="s">
        <v>21</v>
      </c>
      <c r="O105">
        <v>-25.11</v>
      </c>
    </row>
    <row r="106" spans="1:15" x14ac:dyDescent="0.5">
      <c r="A106" t="s">
        <v>241</v>
      </c>
      <c r="C106" t="s">
        <v>31</v>
      </c>
      <c r="D106" t="s">
        <v>146</v>
      </c>
      <c r="E106" t="s">
        <v>55</v>
      </c>
      <c r="F106">
        <v>60</v>
      </c>
      <c r="G106">
        <v>1.7</v>
      </c>
      <c r="H106">
        <v>73</v>
      </c>
      <c r="I106" t="s">
        <v>242</v>
      </c>
      <c r="J106" s="2">
        <v>0.15</v>
      </c>
      <c r="L106" t="s">
        <v>28</v>
      </c>
      <c r="M106">
        <v>3</v>
      </c>
      <c r="N106" t="s">
        <v>51</v>
      </c>
    </row>
    <row r="107" spans="1:15" x14ac:dyDescent="0.5">
      <c r="A107" t="s">
        <v>243</v>
      </c>
      <c r="B107" t="s">
        <v>215</v>
      </c>
      <c r="C107" t="s">
        <v>244</v>
      </c>
      <c r="D107" t="s">
        <v>71</v>
      </c>
      <c r="E107" t="s">
        <v>18</v>
      </c>
      <c r="F107">
        <v>40</v>
      </c>
      <c r="G107">
        <v>4</v>
      </c>
      <c r="H107">
        <v>27</v>
      </c>
      <c r="I107">
        <v>1132.6600000000001</v>
      </c>
      <c r="J107">
        <v>0</v>
      </c>
      <c r="K107" t="s">
        <v>73</v>
      </c>
      <c r="L107" t="s">
        <v>28</v>
      </c>
      <c r="M107">
        <v>2</v>
      </c>
      <c r="O107">
        <v>136</v>
      </c>
    </row>
    <row r="108" spans="1:15" x14ac:dyDescent="0.5">
      <c r="A108" t="s">
        <v>245</v>
      </c>
      <c r="B108" s="4">
        <v>45331.605555555558</v>
      </c>
      <c r="C108" t="s">
        <v>23</v>
      </c>
      <c r="D108" t="s">
        <v>71</v>
      </c>
      <c r="E108" t="s">
        <v>67</v>
      </c>
      <c r="F108">
        <v>54</v>
      </c>
      <c r="G108">
        <v>3.8</v>
      </c>
      <c r="H108">
        <v>30</v>
      </c>
      <c r="I108">
        <v>1899.8</v>
      </c>
      <c r="J108">
        <v>50</v>
      </c>
      <c r="K108" t="s">
        <v>19</v>
      </c>
      <c r="L108" t="s">
        <v>28</v>
      </c>
      <c r="M108">
        <v>7</v>
      </c>
      <c r="O108">
        <v>-49.94</v>
      </c>
    </row>
    <row r="109" spans="1:15" x14ac:dyDescent="0.5">
      <c r="A109" t="s">
        <v>246</v>
      </c>
      <c r="B109" s="1">
        <v>45308</v>
      </c>
      <c r="C109" t="s">
        <v>16</v>
      </c>
      <c r="D109" t="s">
        <v>88</v>
      </c>
      <c r="E109" t="s">
        <v>33</v>
      </c>
      <c r="F109">
        <v>51</v>
      </c>
      <c r="G109">
        <v>1.1000000000000001</v>
      </c>
      <c r="H109">
        <v>44</v>
      </c>
      <c r="I109">
        <v>1584.15</v>
      </c>
      <c r="J109" s="2">
        <v>0.1</v>
      </c>
      <c r="K109" t="s">
        <v>68</v>
      </c>
      <c r="L109" t="s">
        <v>28</v>
      </c>
      <c r="N109" t="s">
        <v>29</v>
      </c>
      <c r="O109">
        <v>13.88</v>
      </c>
    </row>
    <row r="110" spans="1:15" x14ac:dyDescent="0.5">
      <c r="A110" t="s">
        <v>247</v>
      </c>
      <c r="B110" s="4">
        <v>45362.321527777778</v>
      </c>
      <c r="C110" t="s">
        <v>248</v>
      </c>
      <c r="D110" t="s">
        <v>49</v>
      </c>
      <c r="E110" t="s">
        <v>101</v>
      </c>
      <c r="F110">
        <v>52</v>
      </c>
      <c r="G110">
        <v>3.3</v>
      </c>
      <c r="H110">
        <v>63</v>
      </c>
      <c r="I110">
        <v>1460.34</v>
      </c>
      <c r="J110">
        <v>100</v>
      </c>
      <c r="K110" t="s">
        <v>27</v>
      </c>
      <c r="L110" t="s">
        <v>28</v>
      </c>
      <c r="M110">
        <v>4</v>
      </c>
      <c r="N110" t="s">
        <v>29</v>
      </c>
      <c r="O110">
        <v>56.1</v>
      </c>
    </row>
    <row r="111" spans="1:15" x14ac:dyDescent="0.5">
      <c r="A111" t="s">
        <v>249</v>
      </c>
      <c r="B111" s="1">
        <v>45359</v>
      </c>
      <c r="C111" t="s">
        <v>70</v>
      </c>
      <c r="D111" t="s">
        <v>24</v>
      </c>
      <c r="E111" t="s">
        <v>33</v>
      </c>
      <c r="F111">
        <v>30</v>
      </c>
      <c r="G111">
        <v>2</v>
      </c>
      <c r="H111">
        <v>44</v>
      </c>
      <c r="I111">
        <v>602.58000000000004</v>
      </c>
      <c r="J111">
        <v>50</v>
      </c>
      <c r="K111" t="s">
        <v>19</v>
      </c>
      <c r="L111" t="s">
        <v>28</v>
      </c>
      <c r="M111">
        <v>1</v>
      </c>
      <c r="N111" t="s">
        <v>43</v>
      </c>
      <c r="O111">
        <v>216.38</v>
      </c>
    </row>
    <row r="112" spans="1:15" x14ac:dyDescent="0.5">
      <c r="A112" t="s">
        <v>250</v>
      </c>
      <c r="B112" s="1">
        <v>45338</v>
      </c>
      <c r="C112" t="s">
        <v>66</v>
      </c>
      <c r="E112" t="s">
        <v>61</v>
      </c>
      <c r="F112">
        <v>62</v>
      </c>
      <c r="G112">
        <v>2.2999999999999998</v>
      </c>
      <c r="I112">
        <v>1724.37</v>
      </c>
      <c r="J112" s="2">
        <v>0.2</v>
      </c>
      <c r="K112" t="s">
        <v>103</v>
      </c>
      <c r="L112" t="s">
        <v>59</v>
      </c>
      <c r="M112">
        <v>8</v>
      </c>
      <c r="N112" t="s">
        <v>43</v>
      </c>
      <c r="O112">
        <v>42.86</v>
      </c>
    </row>
    <row r="113" spans="1:15" x14ac:dyDescent="0.5">
      <c r="A113" t="s">
        <v>251</v>
      </c>
      <c r="B113" s="4">
        <v>45325.818749999999</v>
      </c>
      <c r="C113" t="s">
        <v>16</v>
      </c>
      <c r="D113" t="s">
        <v>58</v>
      </c>
      <c r="E113" t="s">
        <v>39</v>
      </c>
      <c r="F113">
        <v>51</v>
      </c>
      <c r="G113">
        <v>2.2999999999999998</v>
      </c>
      <c r="H113">
        <v>47</v>
      </c>
      <c r="I113">
        <v>1457.89</v>
      </c>
      <c r="J113" s="2">
        <v>0.15</v>
      </c>
      <c r="K113" t="s">
        <v>19</v>
      </c>
      <c r="L113" t="s">
        <v>28</v>
      </c>
      <c r="M113">
        <v>9</v>
      </c>
      <c r="N113" t="s">
        <v>51</v>
      </c>
      <c r="O113">
        <v>-73.45</v>
      </c>
    </row>
    <row r="114" spans="1:15" x14ac:dyDescent="0.5">
      <c r="A114" t="s">
        <v>252</v>
      </c>
      <c r="B114" t="s">
        <v>253</v>
      </c>
      <c r="C114" t="s">
        <v>112</v>
      </c>
      <c r="D114" t="s">
        <v>88</v>
      </c>
      <c r="E114" t="s">
        <v>55</v>
      </c>
      <c r="F114">
        <v>58</v>
      </c>
      <c r="G114">
        <v>2.2999999999999998</v>
      </c>
      <c r="H114">
        <v>66</v>
      </c>
      <c r="I114" t="s">
        <v>254</v>
      </c>
      <c r="J114" s="2">
        <v>0.15</v>
      </c>
      <c r="K114" t="s">
        <v>73</v>
      </c>
      <c r="L114" t="s">
        <v>28</v>
      </c>
      <c r="M114">
        <v>6</v>
      </c>
      <c r="N114" t="s">
        <v>29</v>
      </c>
      <c r="O114">
        <v>56.62</v>
      </c>
    </row>
    <row r="115" spans="1:15" x14ac:dyDescent="0.5">
      <c r="B115" s="4">
        <v>45478.333333333336</v>
      </c>
      <c r="C115" t="s">
        <v>172</v>
      </c>
      <c r="D115" t="s">
        <v>93</v>
      </c>
      <c r="F115">
        <v>23</v>
      </c>
      <c r="G115">
        <v>3.5</v>
      </c>
      <c r="H115" t="s">
        <v>255</v>
      </c>
      <c r="I115">
        <v>2227.42</v>
      </c>
      <c r="J115" s="2">
        <v>0.2</v>
      </c>
      <c r="K115" t="s">
        <v>41</v>
      </c>
      <c r="L115" t="s">
        <v>28</v>
      </c>
      <c r="M115">
        <v>8</v>
      </c>
      <c r="N115" t="s">
        <v>43</v>
      </c>
      <c r="O115">
        <v>9.9</v>
      </c>
    </row>
    <row r="116" spans="1:15" x14ac:dyDescent="0.5">
      <c r="A116" t="s">
        <v>256</v>
      </c>
      <c r="B116" t="s">
        <v>257</v>
      </c>
      <c r="C116" t="s">
        <v>112</v>
      </c>
      <c r="D116" t="s">
        <v>88</v>
      </c>
      <c r="E116" t="s">
        <v>97</v>
      </c>
      <c r="F116">
        <v>18</v>
      </c>
      <c r="G116">
        <v>4</v>
      </c>
      <c r="H116" t="s">
        <v>258</v>
      </c>
      <c r="J116">
        <v>100</v>
      </c>
      <c r="L116" t="s">
        <v>28</v>
      </c>
      <c r="M116">
        <v>9</v>
      </c>
      <c r="N116" t="s">
        <v>83</v>
      </c>
      <c r="O116">
        <v>64.25</v>
      </c>
    </row>
    <row r="117" spans="1:15" x14ac:dyDescent="0.5">
      <c r="A117" t="s">
        <v>259</v>
      </c>
      <c r="B117" s="1">
        <v>45388</v>
      </c>
      <c r="C117" t="s">
        <v>70</v>
      </c>
      <c r="D117" t="s">
        <v>54</v>
      </c>
      <c r="E117" t="s">
        <v>260</v>
      </c>
      <c r="F117">
        <v>58</v>
      </c>
      <c r="G117">
        <v>2.8</v>
      </c>
      <c r="H117">
        <v>77</v>
      </c>
      <c r="L117" t="s">
        <v>28</v>
      </c>
      <c r="M117">
        <v>1</v>
      </c>
      <c r="N117" t="s">
        <v>155</v>
      </c>
      <c r="O117">
        <v>-8.33</v>
      </c>
    </row>
    <row r="118" spans="1:15" x14ac:dyDescent="0.5">
      <c r="A118" t="s">
        <v>261</v>
      </c>
      <c r="B118" s="4">
        <v>45387.65902777778</v>
      </c>
      <c r="C118" t="s">
        <v>46</v>
      </c>
      <c r="D118" t="s">
        <v>71</v>
      </c>
      <c r="E118" t="s">
        <v>101</v>
      </c>
      <c r="F118">
        <v>33</v>
      </c>
      <c r="G118">
        <v>4.9000000000000004</v>
      </c>
      <c r="H118" t="s">
        <v>220</v>
      </c>
      <c r="I118">
        <v>594.04999999999995</v>
      </c>
      <c r="K118" t="s">
        <v>27</v>
      </c>
      <c r="L118" t="s">
        <v>59</v>
      </c>
      <c r="M118">
        <v>9</v>
      </c>
      <c r="N118" t="s">
        <v>51</v>
      </c>
      <c r="O118">
        <v>18.61</v>
      </c>
    </row>
    <row r="119" spans="1:15" x14ac:dyDescent="0.5">
      <c r="A119" t="s">
        <v>262</v>
      </c>
      <c r="B119" s="4">
        <v>45320.335416666669</v>
      </c>
      <c r="D119" t="s">
        <v>54</v>
      </c>
      <c r="E119" t="s">
        <v>39</v>
      </c>
      <c r="F119">
        <v>23</v>
      </c>
      <c r="G119">
        <v>3</v>
      </c>
      <c r="H119">
        <v>58</v>
      </c>
      <c r="I119">
        <v>2335.42</v>
      </c>
      <c r="J119">
        <v>0</v>
      </c>
      <c r="K119" t="s">
        <v>73</v>
      </c>
      <c r="L119" t="s">
        <v>42</v>
      </c>
      <c r="M119">
        <v>6</v>
      </c>
      <c r="N119" t="s">
        <v>98</v>
      </c>
      <c r="O119">
        <v>44.66</v>
      </c>
    </row>
    <row r="120" spans="1:15" x14ac:dyDescent="0.5">
      <c r="A120" t="s">
        <v>263</v>
      </c>
      <c r="B120" s="1">
        <v>45404</v>
      </c>
      <c r="C120" t="s">
        <v>31</v>
      </c>
      <c r="D120" t="s">
        <v>24</v>
      </c>
      <c r="E120" t="s">
        <v>18</v>
      </c>
      <c r="F120">
        <v>52</v>
      </c>
      <c r="G120">
        <v>1</v>
      </c>
      <c r="H120">
        <v>63</v>
      </c>
      <c r="I120">
        <v>1866.11</v>
      </c>
      <c r="J120">
        <v>75</v>
      </c>
      <c r="K120" t="s">
        <v>103</v>
      </c>
      <c r="L120" t="s">
        <v>28</v>
      </c>
      <c r="M120">
        <v>9</v>
      </c>
      <c r="N120" t="s">
        <v>35</v>
      </c>
      <c r="O120">
        <v>131.5</v>
      </c>
    </row>
    <row r="121" spans="1:15" x14ac:dyDescent="0.5">
      <c r="A121" t="s">
        <v>264</v>
      </c>
      <c r="B121" s="3">
        <v>45325</v>
      </c>
      <c r="C121" t="s">
        <v>248</v>
      </c>
      <c r="D121" t="s">
        <v>71</v>
      </c>
      <c r="E121" t="s">
        <v>101</v>
      </c>
      <c r="G121">
        <v>3.6</v>
      </c>
      <c r="H121">
        <v>25</v>
      </c>
      <c r="I121">
        <v>1233.98</v>
      </c>
      <c r="J121" s="2">
        <v>0.5</v>
      </c>
      <c r="K121" t="s">
        <v>73</v>
      </c>
      <c r="L121" t="s">
        <v>28</v>
      </c>
      <c r="M121">
        <v>4</v>
      </c>
      <c r="N121" t="s">
        <v>51</v>
      </c>
      <c r="O121">
        <v>95.45</v>
      </c>
    </row>
    <row r="122" spans="1:15" x14ac:dyDescent="0.5">
      <c r="A122" t="s">
        <v>265</v>
      </c>
      <c r="B122" s="1">
        <v>45541</v>
      </c>
      <c r="C122" t="s">
        <v>37</v>
      </c>
      <c r="D122" t="s">
        <v>24</v>
      </c>
      <c r="E122" t="s">
        <v>33</v>
      </c>
      <c r="F122">
        <v>56</v>
      </c>
      <c r="G122">
        <v>2.4</v>
      </c>
      <c r="H122">
        <v>56</v>
      </c>
      <c r="I122">
        <v>2130.75</v>
      </c>
      <c r="J122">
        <v>150</v>
      </c>
      <c r="K122" t="s">
        <v>73</v>
      </c>
      <c r="L122" t="s">
        <v>28</v>
      </c>
      <c r="M122">
        <v>8</v>
      </c>
      <c r="O122">
        <v>-68.56</v>
      </c>
    </row>
    <row r="123" spans="1:15" x14ac:dyDescent="0.5">
      <c r="C123" t="s">
        <v>66</v>
      </c>
      <c r="D123" t="s">
        <v>54</v>
      </c>
      <c r="E123" t="s">
        <v>72</v>
      </c>
      <c r="F123">
        <v>34</v>
      </c>
      <c r="G123">
        <v>3.3</v>
      </c>
      <c r="H123" t="s">
        <v>266</v>
      </c>
      <c r="I123">
        <v>834.72</v>
      </c>
      <c r="J123">
        <v>50</v>
      </c>
      <c r="K123" t="s">
        <v>27</v>
      </c>
      <c r="L123" t="s">
        <v>28</v>
      </c>
      <c r="M123">
        <v>2</v>
      </c>
      <c r="N123" t="s">
        <v>74</v>
      </c>
      <c r="O123">
        <v>186.75</v>
      </c>
    </row>
    <row r="124" spans="1:15" x14ac:dyDescent="0.5">
      <c r="A124" t="s">
        <v>267</v>
      </c>
      <c r="B124" s="3">
        <v>45377</v>
      </c>
      <c r="C124" t="s">
        <v>70</v>
      </c>
      <c r="D124" t="s">
        <v>146</v>
      </c>
      <c r="E124" t="s">
        <v>268</v>
      </c>
      <c r="F124">
        <v>38</v>
      </c>
      <c r="G124">
        <v>1.9</v>
      </c>
      <c r="H124" t="s">
        <v>269</v>
      </c>
      <c r="I124">
        <v>2493.73</v>
      </c>
      <c r="J124">
        <v>120</v>
      </c>
      <c r="K124" t="s">
        <v>103</v>
      </c>
      <c r="L124" t="s">
        <v>42</v>
      </c>
      <c r="M124">
        <v>1</v>
      </c>
      <c r="N124" t="s">
        <v>51</v>
      </c>
      <c r="O124">
        <v>85.6</v>
      </c>
    </row>
    <row r="125" spans="1:15" x14ac:dyDescent="0.5">
      <c r="A125" t="s">
        <v>270</v>
      </c>
      <c r="B125" t="s">
        <v>271</v>
      </c>
      <c r="C125" t="s">
        <v>112</v>
      </c>
      <c r="D125" t="s">
        <v>58</v>
      </c>
      <c r="E125" t="s">
        <v>78</v>
      </c>
      <c r="F125">
        <v>38</v>
      </c>
      <c r="G125">
        <v>3.6</v>
      </c>
      <c r="H125">
        <v>36</v>
      </c>
      <c r="I125">
        <v>2470.61</v>
      </c>
      <c r="J125">
        <v>100</v>
      </c>
      <c r="K125" t="s">
        <v>272</v>
      </c>
      <c r="L125" t="s">
        <v>42</v>
      </c>
      <c r="M125">
        <v>2</v>
      </c>
      <c r="N125" t="s">
        <v>21</v>
      </c>
      <c r="O125">
        <v>124.93</v>
      </c>
    </row>
    <row r="126" spans="1:15" x14ac:dyDescent="0.5">
      <c r="A126" t="s">
        <v>273</v>
      </c>
      <c r="B126" t="s">
        <v>274</v>
      </c>
      <c r="D126" t="s">
        <v>58</v>
      </c>
      <c r="E126" t="s">
        <v>101</v>
      </c>
      <c r="F126">
        <v>60</v>
      </c>
      <c r="H126">
        <v>20</v>
      </c>
      <c r="I126" t="s">
        <v>275</v>
      </c>
      <c r="J126" s="2">
        <v>0.6</v>
      </c>
      <c r="K126" t="s">
        <v>73</v>
      </c>
      <c r="L126" t="s">
        <v>28</v>
      </c>
      <c r="M126">
        <v>6</v>
      </c>
      <c r="O126">
        <v>206.25</v>
      </c>
    </row>
    <row r="127" spans="1:15" x14ac:dyDescent="0.5">
      <c r="A127" t="s">
        <v>276</v>
      </c>
      <c r="B127" s="3">
        <v>45473</v>
      </c>
      <c r="C127" t="s">
        <v>81</v>
      </c>
      <c r="D127" t="s">
        <v>24</v>
      </c>
      <c r="E127" t="s">
        <v>18</v>
      </c>
      <c r="G127">
        <v>2.4</v>
      </c>
      <c r="H127">
        <v>79</v>
      </c>
      <c r="I127" t="s">
        <v>277</v>
      </c>
      <c r="J127" s="2">
        <v>0.5</v>
      </c>
      <c r="K127" t="s">
        <v>19</v>
      </c>
      <c r="L127" t="s">
        <v>59</v>
      </c>
      <c r="M127">
        <v>7</v>
      </c>
      <c r="N127" t="s">
        <v>51</v>
      </c>
      <c r="O127">
        <v>126.42</v>
      </c>
    </row>
    <row r="128" spans="1:15" x14ac:dyDescent="0.5">
      <c r="A128" t="s">
        <v>278</v>
      </c>
      <c r="B128" t="s">
        <v>279</v>
      </c>
      <c r="C128" t="s">
        <v>37</v>
      </c>
      <c r="D128" t="s">
        <v>58</v>
      </c>
      <c r="E128" t="s">
        <v>18</v>
      </c>
      <c r="F128">
        <v>59</v>
      </c>
      <c r="G128">
        <v>4.7</v>
      </c>
      <c r="H128">
        <v>30</v>
      </c>
      <c r="I128">
        <v>558.24</v>
      </c>
      <c r="J128" s="2">
        <v>0.1</v>
      </c>
      <c r="K128" t="s">
        <v>73</v>
      </c>
      <c r="L128" t="s">
        <v>28</v>
      </c>
      <c r="M128">
        <v>5</v>
      </c>
      <c r="N128" t="s">
        <v>35</v>
      </c>
      <c r="O128">
        <v>-19.03</v>
      </c>
    </row>
    <row r="129" spans="1:15" x14ac:dyDescent="0.5">
      <c r="A129" t="s">
        <v>280</v>
      </c>
      <c r="B129" s="1">
        <v>45437</v>
      </c>
      <c r="C129" t="s">
        <v>281</v>
      </c>
      <c r="D129" t="s">
        <v>24</v>
      </c>
      <c r="E129" t="s">
        <v>61</v>
      </c>
      <c r="F129">
        <v>32</v>
      </c>
      <c r="H129">
        <v>16</v>
      </c>
      <c r="I129">
        <v>2322.54</v>
      </c>
      <c r="J129" s="2">
        <v>0.15</v>
      </c>
      <c r="K129" t="s">
        <v>68</v>
      </c>
      <c r="L129" t="s">
        <v>28</v>
      </c>
      <c r="M129">
        <v>4</v>
      </c>
      <c r="N129" t="s">
        <v>98</v>
      </c>
      <c r="O129">
        <v>162.66</v>
      </c>
    </row>
    <row r="130" spans="1:15" x14ac:dyDescent="0.5">
      <c r="A130" t="s">
        <v>282</v>
      </c>
      <c r="B130" s="1">
        <v>45542</v>
      </c>
      <c r="C130" t="s">
        <v>283</v>
      </c>
      <c r="D130" t="s">
        <v>284</v>
      </c>
      <c r="E130" t="s">
        <v>25</v>
      </c>
      <c r="F130">
        <v>51</v>
      </c>
      <c r="G130">
        <v>4.9000000000000004</v>
      </c>
      <c r="H130" t="s">
        <v>285</v>
      </c>
      <c r="I130">
        <v>1067.33</v>
      </c>
      <c r="J130">
        <v>100</v>
      </c>
      <c r="K130" t="s">
        <v>68</v>
      </c>
      <c r="L130" t="s">
        <v>28</v>
      </c>
      <c r="M130">
        <v>2</v>
      </c>
      <c r="N130" t="s">
        <v>29</v>
      </c>
      <c r="O130">
        <v>113.2</v>
      </c>
    </row>
    <row r="131" spans="1:15" x14ac:dyDescent="0.5">
      <c r="A131" t="s">
        <v>286</v>
      </c>
      <c r="C131" t="s">
        <v>81</v>
      </c>
      <c r="D131" t="s">
        <v>54</v>
      </c>
      <c r="E131" t="s">
        <v>33</v>
      </c>
      <c r="F131">
        <v>41</v>
      </c>
      <c r="G131">
        <v>3.8</v>
      </c>
      <c r="H131">
        <v>80</v>
      </c>
      <c r="I131">
        <v>1576.73</v>
      </c>
      <c r="J131">
        <v>0</v>
      </c>
      <c r="K131" t="s">
        <v>68</v>
      </c>
      <c r="L131" t="s">
        <v>42</v>
      </c>
      <c r="M131">
        <v>1</v>
      </c>
      <c r="N131" t="s">
        <v>43</v>
      </c>
      <c r="O131">
        <v>237.12</v>
      </c>
    </row>
    <row r="132" spans="1:15" x14ac:dyDescent="0.5">
      <c r="A132" t="s">
        <v>287</v>
      </c>
      <c r="B132" s="4">
        <v>45343.004861111112</v>
      </c>
      <c r="D132" t="s">
        <v>24</v>
      </c>
      <c r="E132" t="s">
        <v>67</v>
      </c>
      <c r="F132">
        <v>23</v>
      </c>
      <c r="G132">
        <v>1</v>
      </c>
      <c r="H132">
        <v>50</v>
      </c>
      <c r="I132">
        <v>1595.04</v>
      </c>
      <c r="J132">
        <v>0</v>
      </c>
      <c r="K132" t="s">
        <v>64</v>
      </c>
      <c r="L132" t="s">
        <v>28</v>
      </c>
      <c r="M132">
        <v>2</v>
      </c>
      <c r="N132" t="s">
        <v>21</v>
      </c>
      <c r="O132">
        <v>-26.76</v>
      </c>
    </row>
    <row r="133" spans="1:15" x14ac:dyDescent="0.5">
      <c r="A133" t="s">
        <v>288</v>
      </c>
      <c r="B133" s="1">
        <v>45438</v>
      </c>
      <c r="C133" t="s">
        <v>233</v>
      </c>
      <c r="D133" t="s">
        <v>54</v>
      </c>
      <c r="E133" t="s">
        <v>289</v>
      </c>
      <c r="F133">
        <v>62</v>
      </c>
      <c r="G133">
        <v>2.2999999999999998</v>
      </c>
      <c r="H133">
        <v>41</v>
      </c>
      <c r="I133">
        <v>1776.07</v>
      </c>
      <c r="J133" s="2">
        <v>0.6</v>
      </c>
      <c r="K133" t="s">
        <v>19</v>
      </c>
      <c r="L133" t="s">
        <v>59</v>
      </c>
      <c r="M133">
        <v>10</v>
      </c>
      <c r="N133" t="s">
        <v>51</v>
      </c>
      <c r="O133">
        <v>105.67</v>
      </c>
    </row>
    <row r="134" spans="1:15" x14ac:dyDescent="0.5">
      <c r="A134" t="s">
        <v>290</v>
      </c>
      <c r="B134" s="1">
        <v>45338</v>
      </c>
      <c r="C134" t="s">
        <v>177</v>
      </c>
      <c r="D134" t="s">
        <v>93</v>
      </c>
      <c r="E134" t="s">
        <v>55</v>
      </c>
      <c r="F134">
        <v>18</v>
      </c>
      <c r="G134">
        <v>3.8</v>
      </c>
      <c r="H134">
        <v>23</v>
      </c>
      <c r="I134">
        <v>852.5</v>
      </c>
      <c r="J134" s="2">
        <v>0.1</v>
      </c>
      <c r="K134" t="s">
        <v>19</v>
      </c>
      <c r="L134" t="s">
        <v>28</v>
      </c>
      <c r="M134">
        <v>6</v>
      </c>
      <c r="N134" t="s">
        <v>29</v>
      </c>
      <c r="O134">
        <v>-68.27</v>
      </c>
    </row>
    <row r="135" spans="1:15" x14ac:dyDescent="0.5">
      <c r="A135" t="s">
        <v>291</v>
      </c>
      <c r="B135" t="s">
        <v>292</v>
      </c>
      <c r="C135" t="s">
        <v>149</v>
      </c>
      <c r="D135" t="s">
        <v>146</v>
      </c>
      <c r="E135" t="s">
        <v>25</v>
      </c>
      <c r="F135">
        <v>22</v>
      </c>
      <c r="G135">
        <v>2.1</v>
      </c>
      <c r="I135">
        <v>2461.0100000000002</v>
      </c>
      <c r="J135">
        <v>120</v>
      </c>
      <c r="K135" t="s">
        <v>103</v>
      </c>
      <c r="L135" t="s">
        <v>59</v>
      </c>
      <c r="N135" t="s">
        <v>43</v>
      </c>
      <c r="O135">
        <v>42.62</v>
      </c>
    </row>
    <row r="136" spans="1:15" x14ac:dyDescent="0.5">
      <c r="A136" t="s">
        <v>293</v>
      </c>
      <c r="B136" t="s">
        <v>294</v>
      </c>
      <c r="C136" t="s">
        <v>110</v>
      </c>
      <c r="D136" t="s">
        <v>24</v>
      </c>
      <c r="E136" t="s">
        <v>67</v>
      </c>
      <c r="F136">
        <v>24</v>
      </c>
      <c r="G136">
        <v>4.8</v>
      </c>
      <c r="H136">
        <v>31</v>
      </c>
      <c r="J136" s="2">
        <v>0.6</v>
      </c>
      <c r="L136" t="s">
        <v>28</v>
      </c>
      <c r="M136">
        <v>8</v>
      </c>
      <c r="N136" t="s">
        <v>21</v>
      </c>
    </row>
    <row r="137" spans="1:15" x14ac:dyDescent="0.5">
      <c r="A137" t="s">
        <v>295</v>
      </c>
      <c r="B137" s="1">
        <v>45345</v>
      </c>
      <c r="C137" t="s">
        <v>23</v>
      </c>
      <c r="D137" t="s">
        <v>49</v>
      </c>
      <c r="E137" t="s">
        <v>18</v>
      </c>
      <c r="F137">
        <v>27</v>
      </c>
      <c r="G137">
        <v>4.2</v>
      </c>
      <c r="H137">
        <v>36</v>
      </c>
      <c r="I137">
        <v>289.56</v>
      </c>
      <c r="J137" s="2">
        <v>0.5</v>
      </c>
      <c r="K137" t="s">
        <v>19</v>
      </c>
      <c r="L137" t="s">
        <v>28</v>
      </c>
      <c r="M137">
        <v>10</v>
      </c>
      <c r="N137" t="s">
        <v>51</v>
      </c>
      <c r="O137">
        <v>67.13</v>
      </c>
    </row>
    <row r="138" spans="1:15" x14ac:dyDescent="0.5">
      <c r="A138" t="s">
        <v>296</v>
      </c>
      <c r="B138" s="3">
        <v>45486</v>
      </c>
      <c r="C138" t="s">
        <v>16</v>
      </c>
      <c r="D138" t="s">
        <v>24</v>
      </c>
      <c r="E138" t="s">
        <v>67</v>
      </c>
      <c r="F138">
        <v>34</v>
      </c>
      <c r="G138">
        <v>2.6</v>
      </c>
      <c r="H138">
        <v>57</v>
      </c>
      <c r="I138">
        <v>1997.29</v>
      </c>
      <c r="J138">
        <v>0</v>
      </c>
      <c r="K138" t="s">
        <v>19</v>
      </c>
      <c r="L138" t="s">
        <v>42</v>
      </c>
      <c r="M138">
        <v>9</v>
      </c>
      <c r="N138" t="s">
        <v>21</v>
      </c>
      <c r="O138">
        <v>-44.7</v>
      </c>
    </row>
    <row r="139" spans="1:15" x14ac:dyDescent="0.5">
      <c r="A139" t="s">
        <v>297</v>
      </c>
      <c r="B139" t="s">
        <v>298</v>
      </c>
      <c r="C139" t="s">
        <v>66</v>
      </c>
      <c r="D139" t="s">
        <v>38</v>
      </c>
      <c r="E139" t="s">
        <v>55</v>
      </c>
      <c r="F139">
        <v>60</v>
      </c>
      <c r="G139">
        <v>4.7</v>
      </c>
      <c r="H139">
        <v>77</v>
      </c>
      <c r="I139">
        <v>392.09</v>
      </c>
      <c r="J139" s="2">
        <v>0.1</v>
      </c>
      <c r="K139" t="s">
        <v>41</v>
      </c>
      <c r="L139" t="s">
        <v>28</v>
      </c>
      <c r="M139">
        <v>6</v>
      </c>
      <c r="N139" t="s">
        <v>43</v>
      </c>
      <c r="O139">
        <v>-8.19</v>
      </c>
    </row>
    <row r="140" spans="1:15" x14ac:dyDescent="0.5">
      <c r="A140" t="s">
        <v>299</v>
      </c>
      <c r="B140" s="4">
        <v>45292.208333333336</v>
      </c>
      <c r="C140" t="s">
        <v>81</v>
      </c>
      <c r="D140" t="s">
        <v>38</v>
      </c>
      <c r="E140" t="s">
        <v>55</v>
      </c>
      <c r="F140">
        <v>57</v>
      </c>
      <c r="G140">
        <v>2.6</v>
      </c>
      <c r="H140" t="s">
        <v>258</v>
      </c>
      <c r="I140">
        <v>268.54000000000002</v>
      </c>
      <c r="J140">
        <v>0</v>
      </c>
      <c r="K140" t="s">
        <v>27</v>
      </c>
      <c r="L140" t="s">
        <v>59</v>
      </c>
      <c r="M140">
        <v>7</v>
      </c>
      <c r="N140" t="s">
        <v>29</v>
      </c>
      <c r="O140">
        <v>45.92</v>
      </c>
    </row>
    <row r="141" spans="1:15" x14ac:dyDescent="0.5">
      <c r="A141" t="s">
        <v>300</v>
      </c>
      <c r="B141" t="s">
        <v>301</v>
      </c>
      <c r="C141" t="s">
        <v>76</v>
      </c>
      <c r="E141" t="s">
        <v>39</v>
      </c>
      <c r="F141">
        <v>26</v>
      </c>
      <c r="G141">
        <v>3.6</v>
      </c>
      <c r="H141">
        <v>73</v>
      </c>
      <c r="I141">
        <v>2246.73</v>
      </c>
      <c r="J141">
        <v>120</v>
      </c>
      <c r="K141" t="s">
        <v>68</v>
      </c>
      <c r="L141" t="s">
        <v>28</v>
      </c>
      <c r="M141">
        <v>10</v>
      </c>
      <c r="N141" t="s">
        <v>43</v>
      </c>
      <c r="O141">
        <v>85.57</v>
      </c>
    </row>
    <row r="142" spans="1:15" x14ac:dyDescent="0.5">
      <c r="A142" t="s">
        <v>302</v>
      </c>
      <c r="B142" s="1">
        <v>45566</v>
      </c>
      <c r="C142" t="s">
        <v>76</v>
      </c>
      <c r="D142" t="s">
        <v>88</v>
      </c>
      <c r="E142" t="s">
        <v>67</v>
      </c>
      <c r="F142">
        <v>58</v>
      </c>
      <c r="G142">
        <v>4.8</v>
      </c>
      <c r="H142" t="s">
        <v>303</v>
      </c>
      <c r="I142">
        <v>1403.29</v>
      </c>
      <c r="J142">
        <v>75</v>
      </c>
      <c r="K142" t="s">
        <v>103</v>
      </c>
      <c r="L142" t="s">
        <v>28</v>
      </c>
      <c r="M142">
        <v>5</v>
      </c>
      <c r="N142" t="s">
        <v>83</v>
      </c>
      <c r="O142">
        <v>117.22</v>
      </c>
    </row>
    <row r="143" spans="1:15" x14ac:dyDescent="0.5">
      <c r="A143" t="s">
        <v>304</v>
      </c>
      <c r="B143" s="1">
        <v>45571</v>
      </c>
      <c r="C143" t="s">
        <v>122</v>
      </c>
      <c r="D143" t="s">
        <v>54</v>
      </c>
      <c r="E143" t="s">
        <v>101</v>
      </c>
      <c r="F143">
        <v>65</v>
      </c>
      <c r="G143">
        <v>1.7</v>
      </c>
      <c r="H143">
        <v>34</v>
      </c>
      <c r="I143">
        <v>1688.79</v>
      </c>
      <c r="J143" s="2">
        <v>0.15</v>
      </c>
      <c r="K143" t="s">
        <v>305</v>
      </c>
      <c r="L143" t="s">
        <v>28</v>
      </c>
      <c r="M143">
        <v>8</v>
      </c>
      <c r="N143" t="s">
        <v>43</v>
      </c>
      <c r="O143">
        <v>65.260000000000005</v>
      </c>
    </row>
    <row r="144" spans="1:15" x14ac:dyDescent="0.5">
      <c r="A144" t="s">
        <v>306</v>
      </c>
      <c r="B144" s="4">
        <v>45380.07708333333</v>
      </c>
      <c r="C144" t="s">
        <v>16</v>
      </c>
      <c r="D144" t="s">
        <v>88</v>
      </c>
      <c r="E144" t="s">
        <v>197</v>
      </c>
      <c r="F144">
        <v>46</v>
      </c>
      <c r="G144">
        <v>2.2999999999999998</v>
      </c>
      <c r="H144">
        <v>20</v>
      </c>
      <c r="I144">
        <v>351.73</v>
      </c>
      <c r="J144" s="2">
        <v>0.5</v>
      </c>
      <c r="K144" t="s">
        <v>103</v>
      </c>
      <c r="L144" t="s">
        <v>59</v>
      </c>
      <c r="M144">
        <v>8</v>
      </c>
      <c r="N144" t="s">
        <v>29</v>
      </c>
      <c r="O144">
        <v>114.28</v>
      </c>
    </row>
    <row r="145" spans="1:15" x14ac:dyDescent="0.5">
      <c r="A145" t="s">
        <v>307</v>
      </c>
      <c r="B145" t="s">
        <v>308</v>
      </c>
      <c r="E145" t="s">
        <v>97</v>
      </c>
      <c r="F145">
        <v>34</v>
      </c>
      <c r="G145">
        <v>1.1000000000000001</v>
      </c>
      <c r="H145" t="s">
        <v>309</v>
      </c>
      <c r="I145">
        <v>1534.05</v>
      </c>
      <c r="J145" s="2">
        <v>0.6</v>
      </c>
      <c r="K145" t="s">
        <v>27</v>
      </c>
      <c r="L145" t="s">
        <v>28</v>
      </c>
      <c r="M145">
        <v>10</v>
      </c>
      <c r="N145" t="s">
        <v>35</v>
      </c>
      <c r="O145">
        <v>3.6</v>
      </c>
    </row>
    <row r="146" spans="1:15" x14ac:dyDescent="0.5">
      <c r="A146" t="s">
        <v>310</v>
      </c>
      <c r="B146" s="4">
        <v>45362.606944444444</v>
      </c>
      <c r="C146" t="s">
        <v>112</v>
      </c>
      <c r="D146" t="s">
        <v>17</v>
      </c>
      <c r="E146" t="s">
        <v>311</v>
      </c>
      <c r="F146">
        <v>29</v>
      </c>
      <c r="G146">
        <v>1.4</v>
      </c>
      <c r="H146">
        <v>70</v>
      </c>
      <c r="I146">
        <v>639.76</v>
      </c>
      <c r="J146">
        <v>150</v>
      </c>
      <c r="K146" t="s">
        <v>73</v>
      </c>
      <c r="L146" t="s">
        <v>20</v>
      </c>
      <c r="M146">
        <v>1</v>
      </c>
      <c r="N146" t="s">
        <v>21</v>
      </c>
      <c r="O146">
        <v>151.02000000000001</v>
      </c>
    </row>
    <row r="147" spans="1:15" x14ac:dyDescent="0.5">
      <c r="A147" t="s">
        <v>312</v>
      </c>
      <c r="B147" t="s">
        <v>313</v>
      </c>
      <c r="C147" t="s">
        <v>70</v>
      </c>
      <c r="D147" t="s">
        <v>17</v>
      </c>
      <c r="E147" t="s">
        <v>97</v>
      </c>
      <c r="F147">
        <v>43</v>
      </c>
      <c r="H147">
        <v>26</v>
      </c>
      <c r="I147">
        <v>989.55</v>
      </c>
      <c r="J147" s="2">
        <v>0.5</v>
      </c>
      <c r="K147" t="s">
        <v>73</v>
      </c>
      <c r="L147" t="s">
        <v>28</v>
      </c>
      <c r="M147">
        <v>2</v>
      </c>
      <c r="N147" t="s">
        <v>29</v>
      </c>
      <c r="O147">
        <v>212.12</v>
      </c>
    </row>
    <row r="148" spans="1:15" x14ac:dyDescent="0.5">
      <c r="A148" t="s">
        <v>314</v>
      </c>
      <c r="B148" s="1">
        <v>45476</v>
      </c>
      <c r="C148" t="s">
        <v>70</v>
      </c>
      <c r="D148" t="s">
        <v>236</v>
      </c>
      <c r="E148" t="s">
        <v>315</v>
      </c>
      <c r="F148">
        <v>59</v>
      </c>
      <c r="G148">
        <v>2.8</v>
      </c>
      <c r="H148">
        <v>34</v>
      </c>
      <c r="I148">
        <v>1883.7</v>
      </c>
      <c r="K148" t="s">
        <v>27</v>
      </c>
      <c r="L148" t="s">
        <v>28</v>
      </c>
      <c r="M148">
        <v>3</v>
      </c>
      <c r="O148">
        <v>21.42</v>
      </c>
    </row>
    <row r="149" spans="1:15" x14ac:dyDescent="0.5">
      <c r="A149" t="s">
        <v>316</v>
      </c>
      <c r="B149" s="3">
        <v>45443</v>
      </c>
      <c r="C149" t="s">
        <v>16</v>
      </c>
      <c r="D149" t="s">
        <v>58</v>
      </c>
      <c r="E149" t="s">
        <v>55</v>
      </c>
      <c r="F149">
        <v>31</v>
      </c>
      <c r="G149">
        <v>3.4</v>
      </c>
      <c r="H149">
        <v>30</v>
      </c>
      <c r="I149">
        <v>771.87</v>
      </c>
      <c r="J149" s="2">
        <v>0.2</v>
      </c>
      <c r="K149" t="s">
        <v>103</v>
      </c>
      <c r="L149" t="s">
        <v>42</v>
      </c>
      <c r="M149">
        <v>3</v>
      </c>
      <c r="N149" t="s">
        <v>21</v>
      </c>
      <c r="O149">
        <v>-77.62</v>
      </c>
    </row>
    <row r="150" spans="1:15" x14ac:dyDescent="0.5">
      <c r="A150" t="s">
        <v>317</v>
      </c>
      <c r="B150" s="4">
        <v>45364.591666666667</v>
      </c>
      <c r="C150" t="s">
        <v>81</v>
      </c>
      <c r="D150" t="s">
        <v>71</v>
      </c>
      <c r="E150" t="s">
        <v>78</v>
      </c>
      <c r="F150">
        <v>37</v>
      </c>
      <c r="G150">
        <v>1</v>
      </c>
      <c r="H150" t="s">
        <v>318</v>
      </c>
      <c r="I150">
        <v>2468.12</v>
      </c>
      <c r="J150">
        <v>120</v>
      </c>
      <c r="K150" t="s">
        <v>103</v>
      </c>
      <c r="L150" t="s">
        <v>59</v>
      </c>
      <c r="M150">
        <v>8</v>
      </c>
      <c r="N150" t="s">
        <v>43</v>
      </c>
      <c r="O150">
        <v>-65.77</v>
      </c>
    </row>
    <row r="151" spans="1:15" x14ac:dyDescent="0.5">
      <c r="A151" t="s">
        <v>319</v>
      </c>
      <c r="B151" s="3">
        <v>45377</v>
      </c>
      <c r="D151" t="s">
        <v>17</v>
      </c>
      <c r="E151" t="s">
        <v>320</v>
      </c>
      <c r="F151">
        <v>55</v>
      </c>
      <c r="G151">
        <v>2.7</v>
      </c>
      <c r="H151">
        <v>56</v>
      </c>
      <c r="I151" t="s">
        <v>321</v>
      </c>
      <c r="J151" s="2">
        <v>0.15</v>
      </c>
      <c r="K151" t="s">
        <v>27</v>
      </c>
      <c r="L151" t="s">
        <v>28</v>
      </c>
      <c r="M151">
        <v>3</v>
      </c>
      <c r="N151" t="s">
        <v>35</v>
      </c>
      <c r="O151">
        <v>47.82</v>
      </c>
    </row>
    <row r="152" spans="1:15" x14ac:dyDescent="0.5">
      <c r="A152" t="s">
        <v>322</v>
      </c>
      <c r="B152" s="1">
        <v>45568</v>
      </c>
      <c r="C152" t="s">
        <v>323</v>
      </c>
      <c r="D152" t="s">
        <v>24</v>
      </c>
      <c r="E152" t="s">
        <v>101</v>
      </c>
      <c r="F152">
        <v>28</v>
      </c>
      <c r="G152">
        <v>3.2</v>
      </c>
      <c r="H152" t="s">
        <v>324</v>
      </c>
      <c r="I152">
        <v>2159.6</v>
      </c>
      <c r="J152">
        <v>120</v>
      </c>
      <c r="K152" t="s">
        <v>41</v>
      </c>
      <c r="L152" t="s">
        <v>42</v>
      </c>
      <c r="M152">
        <v>10</v>
      </c>
      <c r="N152" t="s">
        <v>35</v>
      </c>
    </row>
    <row r="153" spans="1:15" x14ac:dyDescent="0.5">
      <c r="A153" t="s">
        <v>325</v>
      </c>
      <c r="B153" s="1">
        <v>45540</v>
      </c>
      <c r="C153" t="s">
        <v>70</v>
      </c>
      <c r="D153" t="s">
        <v>58</v>
      </c>
      <c r="E153" t="s">
        <v>55</v>
      </c>
      <c r="F153">
        <v>23</v>
      </c>
      <c r="H153">
        <v>35</v>
      </c>
      <c r="I153">
        <v>1793.86</v>
      </c>
      <c r="J153">
        <v>0</v>
      </c>
      <c r="K153" t="s">
        <v>41</v>
      </c>
      <c r="L153" t="s">
        <v>42</v>
      </c>
      <c r="M153">
        <v>1</v>
      </c>
      <c r="N153" t="s">
        <v>29</v>
      </c>
    </row>
    <row r="154" spans="1:15" x14ac:dyDescent="0.5">
      <c r="A154" t="s">
        <v>326</v>
      </c>
      <c r="B154" s="1">
        <v>45418</v>
      </c>
      <c r="C154" t="s">
        <v>327</v>
      </c>
      <c r="D154" t="s">
        <v>17</v>
      </c>
      <c r="E154" t="s">
        <v>39</v>
      </c>
      <c r="F154">
        <v>29</v>
      </c>
      <c r="G154">
        <v>3.8</v>
      </c>
      <c r="H154">
        <v>41</v>
      </c>
      <c r="I154">
        <v>449.41</v>
      </c>
      <c r="J154">
        <v>150</v>
      </c>
      <c r="K154" t="s">
        <v>41</v>
      </c>
      <c r="L154" t="s">
        <v>42</v>
      </c>
      <c r="M154">
        <v>5</v>
      </c>
      <c r="N154" t="s">
        <v>51</v>
      </c>
      <c r="O154">
        <v>-59.09</v>
      </c>
    </row>
    <row r="155" spans="1:15" x14ac:dyDescent="0.5">
      <c r="A155" t="s">
        <v>328</v>
      </c>
      <c r="B155" s="4">
        <v>45323.668055555558</v>
      </c>
      <c r="C155" t="s">
        <v>112</v>
      </c>
      <c r="D155" t="s">
        <v>93</v>
      </c>
      <c r="E155" t="s">
        <v>55</v>
      </c>
      <c r="F155">
        <v>35</v>
      </c>
      <c r="G155">
        <v>1.6</v>
      </c>
      <c r="H155" t="s">
        <v>178</v>
      </c>
      <c r="I155">
        <v>1359.24</v>
      </c>
      <c r="J155" s="2">
        <v>0.6</v>
      </c>
      <c r="K155" t="s">
        <v>68</v>
      </c>
      <c r="L155" t="s">
        <v>28</v>
      </c>
      <c r="M155">
        <v>4</v>
      </c>
      <c r="N155" t="s">
        <v>51</v>
      </c>
      <c r="O155">
        <v>33.119999999999997</v>
      </c>
    </row>
    <row r="156" spans="1:15" x14ac:dyDescent="0.5">
      <c r="A156" t="s">
        <v>329</v>
      </c>
      <c r="B156" s="3">
        <v>45470</v>
      </c>
      <c r="C156" t="s">
        <v>81</v>
      </c>
      <c r="D156" t="s">
        <v>54</v>
      </c>
      <c r="E156" t="s">
        <v>39</v>
      </c>
      <c r="F156">
        <v>28</v>
      </c>
      <c r="G156">
        <v>2.1</v>
      </c>
      <c r="H156">
        <v>34</v>
      </c>
      <c r="I156" t="s">
        <v>330</v>
      </c>
      <c r="J156">
        <v>120</v>
      </c>
      <c r="K156" t="s">
        <v>68</v>
      </c>
      <c r="L156" t="s">
        <v>28</v>
      </c>
      <c r="M156">
        <v>8</v>
      </c>
      <c r="N156" t="s">
        <v>51</v>
      </c>
    </row>
    <row r="157" spans="1:15" x14ac:dyDescent="0.5">
      <c r="A157" t="s">
        <v>331</v>
      </c>
      <c r="B157" s="1">
        <v>45409</v>
      </c>
      <c r="C157" t="s">
        <v>31</v>
      </c>
      <c r="D157" t="s">
        <v>54</v>
      </c>
      <c r="E157" t="s">
        <v>33</v>
      </c>
      <c r="F157">
        <v>25</v>
      </c>
      <c r="G157">
        <v>4.5999999999999996</v>
      </c>
      <c r="H157" t="s">
        <v>332</v>
      </c>
      <c r="J157">
        <v>50</v>
      </c>
      <c r="K157" t="s">
        <v>41</v>
      </c>
      <c r="L157" t="s">
        <v>42</v>
      </c>
      <c r="M157">
        <v>5</v>
      </c>
      <c r="O157">
        <v>97.68</v>
      </c>
    </row>
    <row r="158" spans="1:15" x14ac:dyDescent="0.5">
      <c r="A158" t="s">
        <v>333</v>
      </c>
      <c r="B158" s="1">
        <v>45423</v>
      </c>
      <c r="C158" t="s">
        <v>76</v>
      </c>
      <c r="D158" t="s">
        <v>71</v>
      </c>
      <c r="F158">
        <v>37</v>
      </c>
      <c r="G158">
        <v>4.5</v>
      </c>
      <c r="H158" t="s">
        <v>269</v>
      </c>
      <c r="I158">
        <v>2232.98</v>
      </c>
      <c r="J158">
        <v>100</v>
      </c>
      <c r="K158" t="s">
        <v>73</v>
      </c>
      <c r="L158" t="s">
        <v>28</v>
      </c>
      <c r="M158">
        <v>4</v>
      </c>
      <c r="N158" t="s">
        <v>83</v>
      </c>
      <c r="O158" t="s">
        <v>334</v>
      </c>
    </row>
    <row r="159" spans="1:15" x14ac:dyDescent="0.5">
      <c r="A159" t="s">
        <v>335</v>
      </c>
      <c r="B159" t="s">
        <v>336</v>
      </c>
      <c r="C159" t="s">
        <v>23</v>
      </c>
      <c r="D159" t="s">
        <v>49</v>
      </c>
      <c r="E159" t="s">
        <v>67</v>
      </c>
      <c r="F159">
        <v>53</v>
      </c>
      <c r="G159">
        <v>1.9</v>
      </c>
      <c r="H159">
        <v>34</v>
      </c>
      <c r="I159">
        <v>745.17</v>
      </c>
      <c r="J159">
        <v>100</v>
      </c>
      <c r="K159" t="s">
        <v>19</v>
      </c>
      <c r="L159" t="s">
        <v>28</v>
      </c>
      <c r="N159" t="s">
        <v>83</v>
      </c>
      <c r="O159">
        <v>117.63</v>
      </c>
    </row>
    <row r="160" spans="1:15" x14ac:dyDescent="0.5">
      <c r="A160" t="s">
        <v>337</v>
      </c>
      <c r="B160" s="4">
        <v>45358.893055555556</v>
      </c>
      <c r="C160" t="s">
        <v>338</v>
      </c>
      <c r="D160" t="s">
        <v>339</v>
      </c>
      <c r="E160" t="s">
        <v>61</v>
      </c>
      <c r="F160">
        <v>41</v>
      </c>
      <c r="G160">
        <v>4.5999999999999996</v>
      </c>
      <c r="H160">
        <v>52</v>
      </c>
      <c r="I160">
        <v>814.16</v>
      </c>
      <c r="K160" t="s">
        <v>68</v>
      </c>
      <c r="L160" t="s">
        <v>42</v>
      </c>
      <c r="M160">
        <v>5</v>
      </c>
      <c r="N160" t="s">
        <v>83</v>
      </c>
      <c r="O160">
        <v>-48.37</v>
      </c>
    </row>
    <row r="161" spans="1:15" x14ac:dyDescent="0.5">
      <c r="A161" t="s">
        <v>340</v>
      </c>
      <c r="B161" s="4">
        <v>45364.529861111114</v>
      </c>
      <c r="C161" t="s">
        <v>70</v>
      </c>
      <c r="D161" t="s">
        <v>58</v>
      </c>
      <c r="E161" t="s">
        <v>18</v>
      </c>
      <c r="F161">
        <v>44</v>
      </c>
      <c r="G161">
        <v>1.3</v>
      </c>
      <c r="H161">
        <v>17</v>
      </c>
      <c r="I161">
        <v>1261.25</v>
      </c>
      <c r="J161" s="2">
        <v>0.5</v>
      </c>
      <c r="K161" t="s">
        <v>103</v>
      </c>
      <c r="M161">
        <v>4</v>
      </c>
      <c r="N161" t="s">
        <v>35</v>
      </c>
      <c r="O161">
        <v>-5.23</v>
      </c>
    </row>
    <row r="162" spans="1:15" x14ac:dyDescent="0.5">
      <c r="A162" t="s">
        <v>341</v>
      </c>
      <c r="B162" s="1">
        <v>45468</v>
      </c>
      <c r="C162" t="s">
        <v>342</v>
      </c>
      <c r="D162" t="s">
        <v>88</v>
      </c>
      <c r="E162" t="s">
        <v>39</v>
      </c>
      <c r="F162">
        <v>56</v>
      </c>
      <c r="G162">
        <v>4.5999999999999996</v>
      </c>
      <c r="H162" t="s">
        <v>343</v>
      </c>
      <c r="I162" t="s">
        <v>344</v>
      </c>
      <c r="J162">
        <v>75</v>
      </c>
      <c r="K162" t="s">
        <v>103</v>
      </c>
      <c r="L162" t="s">
        <v>28</v>
      </c>
      <c r="M162">
        <v>10</v>
      </c>
      <c r="N162" t="s">
        <v>21</v>
      </c>
      <c r="O162">
        <v>238.21</v>
      </c>
    </row>
    <row r="163" spans="1:15" x14ac:dyDescent="0.5">
      <c r="A163" t="s">
        <v>345</v>
      </c>
      <c r="B163" s="3">
        <v>45317</v>
      </c>
      <c r="C163" t="s">
        <v>31</v>
      </c>
      <c r="D163" t="s">
        <v>93</v>
      </c>
      <c r="E163" t="s">
        <v>25</v>
      </c>
      <c r="F163">
        <v>47</v>
      </c>
      <c r="G163">
        <v>1.5</v>
      </c>
      <c r="H163">
        <v>51</v>
      </c>
      <c r="I163" t="s">
        <v>346</v>
      </c>
      <c r="J163" s="2">
        <v>0.1</v>
      </c>
      <c r="K163" t="s">
        <v>41</v>
      </c>
      <c r="L163" t="s">
        <v>28</v>
      </c>
      <c r="M163">
        <v>7</v>
      </c>
      <c r="N163" t="s">
        <v>35</v>
      </c>
      <c r="O163">
        <v>184.8</v>
      </c>
    </row>
    <row r="164" spans="1:15" x14ac:dyDescent="0.5">
      <c r="A164" t="s">
        <v>347</v>
      </c>
      <c r="B164" s="1">
        <v>45417</v>
      </c>
      <c r="C164" t="s">
        <v>81</v>
      </c>
      <c r="D164" t="s">
        <v>146</v>
      </c>
      <c r="E164" t="s">
        <v>33</v>
      </c>
      <c r="F164">
        <v>43</v>
      </c>
      <c r="G164">
        <v>4.4000000000000004</v>
      </c>
      <c r="H164">
        <v>50</v>
      </c>
      <c r="I164">
        <v>1940.26</v>
      </c>
      <c r="J164">
        <v>150</v>
      </c>
      <c r="K164" t="s">
        <v>41</v>
      </c>
      <c r="L164" t="s">
        <v>28</v>
      </c>
      <c r="M164">
        <v>2</v>
      </c>
      <c r="N164" t="s">
        <v>83</v>
      </c>
    </row>
    <row r="165" spans="1:15" x14ac:dyDescent="0.5">
      <c r="A165" t="s">
        <v>348</v>
      </c>
      <c r="C165" t="s">
        <v>136</v>
      </c>
      <c r="D165" t="s">
        <v>93</v>
      </c>
      <c r="E165" t="s">
        <v>67</v>
      </c>
      <c r="F165">
        <v>34</v>
      </c>
      <c r="G165">
        <v>4.2</v>
      </c>
      <c r="H165">
        <v>17</v>
      </c>
      <c r="J165">
        <v>0</v>
      </c>
      <c r="K165" t="s">
        <v>41</v>
      </c>
      <c r="L165" t="s">
        <v>28</v>
      </c>
      <c r="M165">
        <v>5</v>
      </c>
      <c r="N165" t="s">
        <v>29</v>
      </c>
      <c r="O165">
        <v>23.11</v>
      </c>
    </row>
    <row r="166" spans="1:15" x14ac:dyDescent="0.5">
      <c r="A166" t="s">
        <v>349</v>
      </c>
      <c r="B166" s="1">
        <v>45417</v>
      </c>
      <c r="C166" t="s">
        <v>37</v>
      </c>
      <c r="D166" t="s">
        <v>71</v>
      </c>
      <c r="E166" t="s">
        <v>61</v>
      </c>
      <c r="F166">
        <v>26</v>
      </c>
      <c r="G166">
        <v>2.4</v>
      </c>
      <c r="H166">
        <v>18</v>
      </c>
      <c r="I166">
        <v>1941.16</v>
      </c>
      <c r="J166" s="2">
        <v>0.5</v>
      </c>
      <c r="K166" t="s">
        <v>73</v>
      </c>
      <c r="L166" t="s">
        <v>42</v>
      </c>
      <c r="M166">
        <v>2</v>
      </c>
      <c r="N166" t="s">
        <v>83</v>
      </c>
    </row>
    <row r="167" spans="1:15" x14ac:dyDescent="0.5">
      <c r="A167" t="s">
        <v>350</v>
      </c>
      <c r="B167" s="1">
        <v>45423</v>
      </c>
      <c r="C167" t="s">
        <v>172</v>
      </c>
      <c r="D167" t="s">
        <v>146</v>
      </c>
      <c r="E167" t="s">
        <v>97</v>
      </c>
      <c r="F167">
        <v>60</v>
      </c>
      <c r="G167">
        <v>3.5</v>
      </c>
      <c r="H167">
        <v>70</v>
      </c>
      <c r="I167">
        <v>600.19000000000005</v>
      </c>
      <c r="J167">
        <v>0</v>
      </c>
      <c r="K167" t="s">
        <v>103</v>
      </c>
      <c r="L167" t="s">
        <v>28</v>
      </c>
      <c r="M167">
        <v>2</v>
      </c>
      <c r="N167" t="s">
        <v>29</v>
      </c>
      <c r="O167" t="s">
        <v>351</v>
      </c>
    </row>
    <row r="168" spans="1:15" x14ac:dyDescent="0.5">
      <c r="A168" t="s">
        <v>352</v>
      </c>
      <c r="B168" s="4">
        <v>45345.493750000001</v>
      </c>
      <c r="C168" t="s">
        <v>112</v>
      </c>
      <c r="D168" t="s">
        <v>38</v>
      </c>
      <c r="E168" t="s">
        <v>67</v>
      </c>
      <c r="F168">
        <v>51</v>
      </c>
      <c r="G168">
        <v>3.3</v>
      </c>
      <c r="H168" t="s">
        <v>353</v>
      </c>
      <c r="I168">
        <v>1886.46</v>
      </c>
      <c r="J168">
        <v>120</v>
      </c>
      <c r="K168" t="s">
        <v>103</v>
      </c>
      <c r="L168" t="s">
        <v>28</v>
      </c>
      <c r="M168">
        <v>3</v>
      </c>
      <c r="N168" t="s">
        <v>29</v>
      </c>
      <c r="O168">
        <v>63.68</v>
      </c>
    </row>
    <row r="169" spans="1:15" x14ac:dyDescent="0.5">
      <c r="A169" t="s">
        <v>354</v>
      </c>
      <c r="B169" s="1">
        <v>45344</v>
      </c>
      <c r="C169" t="s">
        <v>23</v>
      </c>
      <c r="D169" t="s">
        <v>126</v>
      </c>
      <c r="E169" t="s">
        <v>101</v>
      </c>
      <c r="F169">
        <v>20</v>
      </c>
      <c r="G169">
        <v>2.1</v>
      </c>
      <c r="I169">
        <v>1999.41</v>
      </c>
      <c r="J169">
        <v>150</v>
      </c>
      <c r="K169" t="s">
        <v>19</v>
      </c>
      <c r="L169" t="s">
        <v>28</v>
      </c>
      <c r="M169">
        <v>7</v>
      </c>
      <c r="N169" t="s">
        <v>83</v>
      </c>
      <c r="O169">
        <v>50.98</v>
      </c>
    </row>
    <row r="170" spans="1:15" x14ac:dyDescent="0.5">
      <c r="A170" t="s">
        <v>355</v>
      </c>
      <c r="B170" s="3">
        <v>45438</v>
      </c>
      <c r="C170" t="s">
        <v>37</v>
      </c>
      <c r="D170" t="s">
        <v>24</v>
      </c>
      <c r="E170" t="s">
        <v>61</v>
      </c>
      <c r="F170">
        <v>33</v>
      </c>
      <c r="G170">
        <v>1.9</v>
      </c>
      <c r="H170" t="s">
        <v>178</v>
      </c>
      <c r="I170">
        <v>2428.42</v>
      </c>
      <c r="J170" s="2">
        <v>0.6</v>
      </c>
      <c r="K170" t="s">
        <v>19</v>
      </c>
      <c r="L170" t="s">
        <v>59</v>
      </c>
      <c r="M170">
        <v>5</v>
      </c>
      <c r="N170" t="s">
        <v>35</v>
      </c>
    </row>
    <row r="171" spans="1:15" x14ac:dyDescent="0.5">
      <c r="A171" t="s">
        <v>356</v>
      </c>
      <c r="B171" s="4">
        <v>45481.941666666666</v>
      </c>
      <c r="C171" t="s">
        <v>46</v>
      </c>
      <c r="D171" t="s">
        <v>54</v>
      </c>
      <c r="E171" t="s">
        <v>97</v>
      </c>
      <c r="G171">
        <v>4.7</v>
      </c>
      <c r="H171">
        <v>53</v>
      </c>
      <c r="I171">
        <v>334.8</v>
      </c>
      <c r="J171" s="2">
        <v>0.15</v>
      </c>
      <c r="K171" t="s">
        <v>68</v>
      </c>
      <c r="L171" t="s">
        <v>28</v>
      </c>
      <c r="M171">
        <v>8</v>
      </c>
      <c r="N171" t="s">
        <v>43</v>
      </c>
      <c r="O171">
        <v>29.8</v>
      </c>
    </row>
    <row r="172" spans="1:15" x14ac:dyDescent="0.5">
      <c r="A172" t="s">
        <v>357</v>
      </c>
      <c r="B172" s="1">
        <v>45598</v>
      </c>
      <c r="C172" t="s">
        <v>76</v>
      </c>
      <c r="D172" t="s">
        <v>17</v>
      </c>
      <c r="E172" t="s">
        <v>67</v>
      </c>
      <c r="F172">
        <v>38</v>
      </c>
      <c r="G172">
        <v>1.4</v>
      </c>
      <c r="H172" t="s">
        <v>202</v>
      </c>
      <c r="I172">
        <v>2427.8000000000002</v>
      </c>
      <c r="J172">
        <v>120</v>
      </c>
      <c r="K172" t="s">
        <v>27</v>
      </c>
      <c r="L172" t="s">
        <v>42</v>
      </c>
      <c r="M172">
        <v>5</v>
      </c>
      <c r="N172" t="s">
        <v>35</v>
      </c>
      <c r="O172">
        <v>49.85</v>
      </c>
    </row>
    <row r="173" spans="1:15" x14ac:dyDescent="0.5">
      <c r="A173" t="s">
        <v>358</v>
      </c>
      <c r="B173" s="3">
        <v>45297</v>
      </c>
      <c r="C173" t="s">
        <v>112</v>
      </c>
      <c r="D173" t="s">
        <v>54</v>
      </c>
      <c r="E173" t="s">
        <v>55</v>
      </c>
      <c r="F173">
        <v>54</v>
      </c>
      <c r="G173">
        <v>3.9</v>
      </c>
      <c r="H173">
        <v>73</v>
      </c>
      <c r="I173">
        <v>2088.87</v>
      </c>
      <c r="J173" s="2">
        <v>0.15</v>
      </c>
      <c r="K173" t="s">
        <v>68</v>
      </c>
      <c r="L173" t="s">
        <v>28</v>
      </c>
      <c r="M173">
        <v>4</v>
      </c>
      <c r="N173" t="s">
        <v>83</v>
      </c>
      <c r="O173">
        <v>-20.48</v>
      </c>
    </row>
    <row r="174" spans="1:15" x14ac:dyDescent="0.5">
      <c r="B174" s="4">
        <v>45359.334722222222</v>
      </c>
      <c r="C174" t="s">
        <v>359</v>
      </c>
      <c r="D174" t="s">
        <v>49</v>
      </c>
      <c r="E174" t="s">
        <v>25</v>
      </c>
      <c r="F174">
        <v>24</v>
      </c>
      <c r="G174">
        <v>1.2</v>
      </c>
      <c r="H174">
        <v>75</v>
      </c>
      <c r="I174">
        <v>2281.58</v>
      </c>
      <c r="J174">
        <v>120</v>
      </c>
      <c r="K174" t="s">
        <v>157</v>
      </c>
      <c r="L174" t="s">
        <v>59</v>
      </c>
      <c r="M174">
        <v>6</v>
      </c>
      <c r="N174" t="s">
        <v>35</v>
      </c>
      <c r="O174">
        <v>111.56</v>
      </c>
    </row>
    <row r="175" spans="1:15" x14ac:dyDescent="0.5">
      <c r="A175" t="s">
        <v>360</v>
      </c>
      <c r="B175" s="1">
        <v>45411</v>
      </c>
      <c r="C175" t="s">
        <v>31</v>
      </c>
      <c r="D175" t="s">
        <v>49</v>
      </c>
      <c r="E175" t="s">
        <v>61</v>
      </c>
      <c r="F175">
        <v>34</v>
      </c>
      <c r="G175">
        <v>2.7</v>
      </c>
      <c r="H175" t="s">
        <v>361</v>
      </c>
      <c r="I175">
        <v>2487.06</v>
      </c>
      <c r="J175" s="2">
        <v>0.5</v>
      </c>
      <c r="K175" t="s">
        <v>19</v>
      </c>
      <c r="L175" t="s">
        <v>28</v>
      </c>
      <c r="M175">
        <v>8</v>
      </c>
      <c r="N175" t="s">
        <v>21</v>
      </c>
      <c r="O175">
        <v>105.08</v>
      </c>
    </row>
    <row r="176" spans="1:15" x14ac:dyDescent="0.5">
      <c r="A176" t="s">
        <v>362</v>
      </c>
      <c r="B176" s="1">
        <v>45475</v>
      </c>
      <c r="C176" t="s">
        <v>66</v>
      </c>
      <c r="D176" t="s">
        <v>54</v>
      </c>
      <c r="E176" t="s">
        <v>39</v>
      </c>
      <c r="F176">
        <v>49</v>
      </c>
      <c r="G176">
        <v>4.5</v>
      </c>
      <c r="I176">
        <v>1741.52</v>
      </c>
      <c r="J176" s="2">
        <v>0.6</v>
      </c>
      <c r="K176" t="s">
        <v>19</v>
      </c>
      <c r="L176" t="s">
        <v>28</v>
      </c>
      <c r="M176">
        <v>1</v>
      </c>
      <c r="N176" t="s">
        <v>83</v>
      </c>
      <c r="O176">
        <v>233.8</v>
      </c>
    </row>
    <row r="177" spans="1:15" x14ac:dyDescent="0.5">
      <c r="A177" t="s">
        <v>363</v>
      </c>
      <c r="B177" s="1">
        <v>45437</v>
      </c>
      <c r="C177" t="s">
        <v>46</v>
      </c>
      <c r="D177" t="s">
        <v>88</v>
      </c>
      <c r="E177" t="s">
        <v>33</v>
      </c>
      <c r="G177">
        <v>2.6</v>
      </c>
      <c r="H177">
        <v>34</v>
      </c>
      <c r="I177">
        <v>407.03</v>
      </c>
      <c r="J177">
        <v>75</v>
      </c>
      <c r="K177" t="s">
        <v>27</v>
      </c>
      <c r="L177" t="s">
        <v>59</v>
      </c>
      <c r="M177">
        <v>8</v>
      </c>
      <c r="N177" t="s">
        <v>83</v>
      </c>
      <c r="O177">
        <v>169.64</v>
      </c>
    </row>
    <row r="178" spans="1:15" x14ac:dyDescent="0.5">
      <c r="A178" t="s">
        <v>364</v>
      </c>
      <c r="B178" s="1">
        <v>45401</v>
      </c>
      <c r="C178" t="s">
        <v>76</v>
      </c>
      <c r="D178" t="s">
        <v>24</v>
      </c>
      <c r="E178" t="s">
        <v>67</v>
      </c>
      <c r="F178">
        <v>26</v>
      </c>
      <c r="G178">
        <v>2.2000000000000002</v>
      </c>
      <c r="H178" t="s">
        <v>123</v>
      </c>
      <c r="I178" t="s">
        <v>365</v>
      </c>
      <c r="K178" t="s">
        <v>19</v>
      </c>
      <c r="L178" t="s">
        <v>28</v>
      </c>
      <c r="M178">
        <v>5</v>
      </c>
      <c r="N178" t="s">
        <v>51</v>
      </c>
      <c r="O178">
        <v>-42.4</v>
      </c>
    </row>
    <row r="179" spans="1:15" x14ac:dyDescent="0.5">
      <c r="A179" t="s">
        <v>366</v>
      </c>
      <c r="B179" s="1">
        <v>45392</v>
      </c>
      <c r="C179" t="s">
        <v>31</v>
      </c>
      <c r="D179" t="s">
        <v>146</v>
      </c>
      <c r="E179" t="s">
        <v>367</v>
      </c>
      <c r="F179">
        <v>61</v>
      </c>
      <c r="G179">
        <v>3.1</v>
      </c>
      <c r="I179">
        <v>397.69</v>
      </c>
      <c r="J179">
        <v>150</v>
      </c>
      <c r="K179" t="s">
        <v>41</v>
      </c>
      <c r="L179" t="s">
        <v>28</v>
      </c>
      <c r="M179">
        <v>7</v>
      </c>
      <c r="N179" t="s">
        <v>83</v>
      </c>
      <c r="O179">
        <v>-17.04</v>
      </c>
    </row>
    <row r="180" spans="1:15" x14ac:dyDescent="0.5">
      <c r="A180" t="s">
        <v>368</v>
      </c>
      <c r="B180" s="1">
        <v>45474</v>
      </c>
      <c r="C180" t="s">
        <v>136</v>
      </c>
      <c r="D180" t="s">
        <v>58</v>
      </c>
      <c r="F180">
        <v>27</v>
      </c>
      <c r="G180">
        <v>2.8</v>
      </c>
      <c r="H180">
        <v>17</v>
      </c>
      <c r="I180">
        <v>2166.3200000000002</v>
      </c>
      <c r="J180" s="2">
        <v>0.6</v>
      </c>
      <c r="K180" t="s">
        <v>369</v>
      </c>
      <c r="L180" t="s">
        <v>28</v>
      </c>
      <c r="M180">
        <v>10</v>
      </c>
      <c r="N180" t="s">
        <v>29</v>
      </c>
      <c r="O180">
        <v>80.87</v>
      </c>
    </row>
    <row r="181" spans="1:15" x14ac:dyDescent="0.5">
      <c r="A181" t="s">
        <v>370</v>
      </c>
      <c r="B181" s="1">
        <v>45465</v>
      </c>
      <c r="C181" t="s">
        <v>46</v>
      </c>
      <c r="D181" t="s">
        <v>71</v>
      </c>
      <c r="E181" t="s">
        <v>61</v>
      </c>
      <c r="F181">
        <v>48</v>
      </c>
      <c r="G181">
        <v>1.9</v>
      </c>
      <c r="H181" t="s">
        <v>371</v>
      </c>
      <c r="I181">
        <v>1750.24</v>
      </c>
      <c r="J181">
        <v>150</v>
      </c>
      <c r="K181" t="s">
        <v>27</v>
      </c>
      <c r="L181" t="s">
        <v>28</v>
      </c>
      <c r="M181">
        <v>6</v>
      </c>
      <c r="N181" t="s">
        <v>43</v>
      </c>
      <c r="O181">
        <v>125.21</v>
      </c>
    </row>
    <row r="182" spans="1:15" x14ac:dyDescent="0.5">
      <c r="A182" t="s">
        <v>372</v>
      </c>
      <c r="B182" s="1">
        <v>45325</v>
      </c>
      <c r="C182" t="s">
        <v>122</v>
      </c>
      <c r="D182" t="s">
        <v>373</v>
      </c>
      <c r="E182" t="s">
        <v>39</v>
      </c>
      <c r="F182">
        <v>50</v>
      </c>
      <c r="H182" t="s">
        <v>123</v>
      </c>
      <c r="I182">
        <v>391.25</v>
      </c>
      <c r="J182">
        <v>100</v>
      </c>
      <c r="K182" t="s">
        <v>73</v>
      </c>
      <c r="L182" t="s">
        <v>28</v>
      </c>
      <c r="M182">
        <v>9</v>
      </c>
      <c r="N182" t="s">
        <v>51</v>
      </c>
      <c r="O182">
        <v>225.79</v>
      </c>
    </row>
    <row r="183" spans="1:15" x14ac:dyDescent="0.5">
      <c r="A183" t="s">
        <v>374</v>
      </c>
      <c r="B183" s="4">
        <v>45320.15</v>
      </c>
      <c r="C183" t="s">
        <v>122</v>
      </c>
      <c r="D183" t="s">
        <v>93</v>
      </c>
      <c r="E183" t="s">
        <v>61</v>
      </c>
      <c r="F183">
        <v>64</v>
      </c>
      <c r="G183">
        <v>1.6</v>
      </c>
      <c r="H183">
        <v>32</v>
      </c>
      <c r="I183">
        <v>412.7</v>
      </c>
      <c r="J183">
        <v>0</v>
      </c>
      <c r="K183" t="s">
        <v>68</v>
      </c>
      <c r="L183" t="s">
        <v>42</v>
      </c>
      <c r="M183">
        <v>6</v>
      </c>
      <c r="N183" t="s">
        <v>29</v>
      </c>
      <c r="O183">
        <v>168.66</v>
      </c>
    </row>
    <row r="184" spans="1:15" x14ac:dyDescent="0.5">
      <c r="A184" t="s">
        <v>375</v>
      </c>
      <c r="B184" s="3">
        <v>45397</v>
      </c>
      <c r="C184" t="s">
        <v>283</v>
      </c>
      <c r="D184" t="s">
        <v>49</v>
      </c>
      <c r="E184" t="s">
        <v>97</v>
      </c>
      <c r="F184">
        <v>21</v>
      </c>
      <c r="G184">
        <v>1.1000000000000001</v>
      </c>
      <c r="H184">
        <v>34</v>
      </c>
      <c r="I184" t="s">
        <v>376</v>
      </c>
      <c r="J184">
        <v>150</v>
      </c>
      <c r="K184" t="s">
        <v>27</v>
      </c>
      <c r="L184" t="s">
        <v>28</v>
      </c>
      <c r="M184">
        <v>6</v>
      </c>
      <c r="N184" t="s">
        <v>21</v>
      </c>
      <c r="O184">
        <v>121.43</v>
      </c>
    </row>
    <row r="185" spans="1:15" x14ac:dyDescent="0.5">
      <c r="A185" t="s">
        <v>377</v>
      </c>
      <c r="B185" s="4">
        <v>45431.887499999997</v>
      </c>
      <c r="C185" t="s">
        <v>112</v>
      </c>
      <c r="D185" t="s">
        <v>58</v>
      </c>
      <c r="E185" t="s">
        <v>55</v>
      </c>
      <c r="F185">
        <v>36</v>
      </c>
      <c r="G185">
        <v>3</v>
      </c>
      <c r="H185">
        <v>58</v>
      </c>
      <c r="I185">
        <v>1921.77</v>
      </c>
      <c r="K185" t="s">
        <v>103</v>
      </c>
      <c r="L185" t="s">
        <v>28</v>
      </c>
      <c r="M185">
        <v>6</v>
      </c>
      <c r="N185" t="s">
        <v>83</v>
      </c>
      <c r="O185">
        <v>-64.25</v>
      </c>
    </row>
    <row r="186" spans="1:15" x14ac:dyDescent="0.5">
      <c r="A186" t="s">
        <v>378</v>
      </c>
      <c r="B186" s="1">
        <v>45480</v>
      </c>
      <c r="C186" t="s">
        <v>66</v>
      </c>
      <c r="D186" t="s">
        <v>88</v>
      </c>
      <c r="E186" t="s">
        <v>78</v>
      </c>
      <c r="F186">
        <v>38</v>
      </c>
      <c r="G186">
        <v>1.8</v>
      </c>
      <c r="H186">
        <v>73</v>
      </c>
      <c r="I186">
        <v>353.21</v>
      </c>
      <c r="J186">
        <v>0</v>
      </c>
      <c r="K186" t="s">
        <v>19</v>
      </c>
      <c r="L186" t="s">
        <v>28</v>
      </c>
      <c r="M186">
        <v>9</v>
      </c>
      <c r="N186" t="s">
        <v>51</v>
      </c>
      <c r="O186">
        <v>112.82</v>
      </c>
    </row>
    <row r="187" spans="1:15" x14ac:dyDescent="0.5">
      <c r="A187" t="s">
        <v>379</v>
      </c>
      <c r="B187" s="3">
        <v>45417</v>
      </c>
      <c r="C187" t="s">
        <v>136</v>
      </c>
      <c r="D187" t="s">
        <v>88</v>
      </c>
      <c r="F187">
        <v>53</v>
      </c>
      <c r="G187">
        <v>4.8</v>
      </c>
      <c r="H187">
        <v>67</v>
      </c>
      <c r="I187">
        <v>382.6</v>
      </c>
      <c r="J187" s="2">
        <v>0.6</v>
      </c>
      <c r="K187" t="s">
        <v>68</v>
      </c>
      <c r="L187" t="s">
        <v>59</v>
      </c>
      <c r="M187">
        <v>10</v>
      </c>
      <c r="O187">
        <v>215.1</v>
      </c>
    </row>
    <row r="188" spans="1:15" x14ac:dyDescent="0.5">
      <c r="A188" t="s">
        <v>380</v>
      </c>
      <c r="B188" s="1">
        <v>45417</v>
      </c>
      <c r="C188" t="s">
        <v>167</v>
      </c>
      <c r="D188" t="s">
        <v>54</v>
      </c>
      <c r="E188" t="s">
        <v>67</v>
      </c>
      <c r="F188">
        <v>58</v>
      </c>
      <c r="G188">
        <v>2.8</v>
      </c>
      <c r="H188">
        <v>56</v>
      </c>
      <c r="I188">
        <v>332.57</v>
      </c>
      <c r="J188">
        <v>100</v>
      </c>
      <c r="K188" t="s">
        <v>64</v>
      </c>
      <c r="L188" t="s">
        <v>28</v>
      </c>
      <c r="M188">
        <v>1</v>
      </c>
      <c r="N188" t="s">
        <v>51</v>
      </c>
      <c r="O188">
        <v>21.92</v>
      </c>
    </row>
    <row r="189" spans="1:15" x14ac:dyDescent="0.5">
      <c r="A189" t="s">
        <v>381</v>
      </c>
      <c r="B189" s="1">
        <v>45479</v>
      </c>
      <c r="C189" t="s">
        <v>46</v>
      </c>
      <c r="D189" t="s">
        <v>17</v>
      </c>
      <c r="E189" t="s">
        <v>39</v>
      </c>
      <c r="F189">
        <v>55</v>
      </c>
      <c r="G189">
        <v>4.2</v>
      </c>
      <c r="H189">
        <v>66</v>
      </c>
      <c r="I189">
        <v>1521.57</v>
      </c>
      <c r="J189">
        <v>75</v>
      </c>
      <c r="K189" t="s">
        <v>369</v>
      </c>
      <c r="L189" t="s">
        <v>28</v>
      </c>
      <c r="M189">
        <v>2</v>
      </c>
      <c r="N189" t="s">
        <v>51</v>
      </c>
      <c r="O189" t="s">
        <v>382</v>
      </c>
    </row>
    <row r="190" spans="1:15" x14ac:dyDescent="0.5">
      <c r="A190" t="s">
        <v>383</v>
      </c>
      <c r="B190" s="4">
        <v>45335.083333333336</v>
      </c>
      <c r="C190" t="s">
        <v>76</v>
      </c>
      <c r="D190" t="s">
        <v>49</v>
      </c>
      <c r="E190" t="s">
        <v>97</v>
      </c>
      <c r="F190">
        <v>50</v>
      </c>
      <c r="G190">
        <v>2.5</v>
      </c>
      <c r="H190" t="s">
        <v>384</v>
      </c>
      <c r="I190">
        <v>877.64</v>
      </c>
      <c r="K190" t="s">
        <v>19</v>
      </c>
      <c r="L190" t="s">
        <v>59</v>
      </c>
      <c r="M190">
        <v>9</v>
      </c>
      <c r="N190" t="s">
        <v>29</v>
      </c>
      <c r="O190" t="s">
        <v>385</v>
      </c>
    </row>
    <row r="191" spans="1:15" x14ac:dyDescent="0.5">
      <c r="A191" t="s">
        <v>386</v>
      </c>
      <c r="B191" s="1">
        <v>45445</v>
      </c>
      <c r="C191" t="s">
        <v>136</v>
      </c>
      <c r="D191" t="s">
        <v>24</v>
      </c>
      <c r="E191" t="s">
        <v>387</v>
      </c>
      <c r="F191">
        <v>48</v>
      </c>
      <c r="G191">
        <v>2</v>
      </c>
      <c r="H191">
        <v>59</v>
      </c>
      <c r="I191">
        <v>2125</v>
      </c>
      <c r="J191">
        <v>75</v>
      </c>
      <c r="K191" t="s">
        <v>19</v>
      </c>
      <c r="L191" t="s">
        <v>28</v>
      </c>
      <c r="M191">
        <v>9</v>
      </c>
      <c r="N191" t="s">
        <v>83</v>
      </c>
      <c r="O191">
        <v>86.59</v>
      </c>
    </row>
    <row r="192" spans="1:15" x14ac:dyDescent="0.5">
      <c r="A192" t="s">
        <v>388</v>
      </c>
      <c r="B192" s="3">
        <v>45454</v>
      </c>
      <c r="C192" t="s">
        <v>31</v>
      </c>
      <c r="D192" t="s">
        <v>24</v>
      </c>
      <c r="E192" t="s">
        <v>389</v>
      </c>
      <c r="H192" t="s">
        <v>332</v>
      </c>
      <c r="I192">
        <v>2250.7399999999998</v>
      </c>
      <c r="J192">
        <v>120</v>
      </c>
      <c r="K192" t="s">
        <v>19</v>
      </c>
      <c r="L192" t="s">
        <v>28</v>
      </c>
      <c r="M192">
        <v>2</v>
      </c>
      <c r="N192" t="s">
        <v>83</v>
      </c>
      <c r="O192">
        <v>118.43</v>
      </c>
    </row>
    <row r="193" spans="1:15" x14ac:dyDescent="0.5">
      <c r="A193" t="s">
        <v>390</v>
      </c>
      <c r="B193" s="1">
        <v>45352</v>
      </c>
      <c r="C193" t="s">
        <v>248</v>
      </c>
      <c r="D193" t="s">
        <v>54</v>
      </c>
      <c r="E193" t="s">
        <v>78</v>
      </c>
      <c r="F193">
        <v>41</v>
      </c>
      <c r="H193">
        <v>41</v>
      </c>
      <c r="I193">
        <v>136.97999999999999</v>
      </c>
      <c r="J193">
        <v>0</v>
      </c>
      <c r="K193" t="s">
        <v>73</v>
      </c>
      <c r="L193" t="s">
        <v>28</v>
      </c>
      <c r="M193">
        <v>10</v>
      </c>
      <c r="N193" t="s">
        <v>35</v>
      </c>
      <c r="O193">
        <v>228.08</v>
      </c>
    </row>
    <row r="194" spans="1:15" x14ac:dyDescent="0.5">
      <c r="A194" t="s">
        <v>391</v>
      </c>
      <c r="B194" s="3">
        <v>45362</v>
      </c>
      <c r="C194" t="s">
        <v>46</v>
      </c>
      <c r="D194" t="s">
        <v>160</v>
      </c>
      <c r="E194" t="s">
        <v>55</v>
      </c>
      <c r="F194">
        <v>45</v>
      </c>
      <c r="G194">
        <v>2.6</v>
      </c>
      <c r="H194" t="s">
        <v>128</v>
      </c>
      <c r="I194">
        <v>1230.48</v>
      </c>
      <c r="J194">
        <v>150</v>
      </c>
      <c r="K194" t="s">
        <v>68</v>
      </c>
      <c r="M194">
        <v>2</v>
      </c>
      <c r="N194" t="s">
        <v>51</v>
      </c>
      <c r="O194">
        <v>-5.54</v>
      </c>
    </row>
    <row r="195" spans="1:15" x14ac:dyDescent="0.5">
      <c r="A195" t="s">
        <v>392</v>
      </c>
      <c r="B195" t="s">
        <v>253</v>
      </c>
      <c r="C195" t="s">
        <v>393</v>
      </c>
      <c r="D195" t="s">
        <v>17</v>
      </c>
      <c r="E195" t="s">
        <v>101</v>
      </c>
      <c r="F195">
        <v>39</v>
      </c>
      <c r="G195">
        <v>1.9</v>
      </c>
      <c r="H195" t="s">
        <v>394</v>
      </c>
      <c r="I195">
        <v>1594.57</v>
      </c>
      <c r="J195">
        <v>120</v>
      </c>
      <c r="K195" t="s">
        <v>19</v>
      </c>
      <c r="L195" t="s">
        <v>59</v>
      </c>
      <c r="M195">
        <v>1</v>
      </c>
      <c r="N195" t="s">
        <v>43</v>
      </c>
      <c r="O195">
        <v>62.51</v>
      </c>
    </row>
    <row r="196" spans="1:15" x14ac:dyDescent="0.5">
      <c r="A196" t="s">
        <v>395</v>
      </c>
      <c r="B196" s="1">
        <v>45389</v>
      </c>
      <c r="C196" t="s">
        <v>396</v>
      </c>
      <c r="D196" t="s">
        <v>71</v>
      </c>
      <c r="E196" t="s">
        <v>97</v>
      </c>
      <c r="F196">
        <v>39</v>
      </c>
      <c r="G196">
        <v>1.4</v>
      </c>
      <c r="I196">
        <v>1817.65</v>
      </c>
      <c r="J196">
        <v>120</v>
      </c>
      <c r="K196" t="s">
        <v>68</v>
      </c>
      <c r="L196" t="s">
        <v>28</v>
      </c>
      <c r="M196">
        <v>1</v>
      </c>
      <c r="N196" t="s">
        <v>35</v>
      </c>
      <c r="O196">
        <v>236.71</v>
      </c>
    </row>
    <row r="197" spans="1:15" x14ac:dyDescent="0.5">
      <c r="A197" t="s">
        <v>397</v>
      </c>
      <c r="B197" s="1">
        <v>45490</v>
      </c>
      <c r="C197" t="s">
        <v>23</v>
      </c>
      <c r="D197" t="s">
        <v>49</v>
      </c>
      <c r="E197" t="s">
        <v>39</v>
      </c>
      <c r="F197">
        <v>22</v>
      </c>
      <c r="G197">
        <v>3.7</v>
      </c>
      <c r="H197">
        <v>74</v>
      </c>
      <c r="I197">
        <v>1547.43</v>
      </c>
      <c r="J197">
        <v>75</v>
      </c>
      <c r="K197" t="s">
        <v>103</v>
      </c>
      <c r="L197" t="s">
        <v>28</v>
      </c>
      <c r="M197">
        <v>4</v>
      </c>
      <c r="N197" t="s">
        <v>43</v>
      </c>
      <c r="O197">
        <v>162.41</v>
      </c>
    </row>
    <row r="198" spans="1:15" x14ac:dyDescent="0.5">
      <c r="A198" t="s">
        <v>398</v>
      </c>
      <c r="B198" s="1">
        <v>45344</v>
      </c>
      <c r="C198" t="s">
        <v>323</v>
      </c>
      <c r="D198" t="s">
        <v>93</v>
      </c>
      <c r="E198" t="s">
        <v>399</v>
      </c>
      <c r="F198">
        <v>32</v>
      </c>
      <c r="G198">
        <v>3.9</v>
      </c>
      <c r="H198">
        <v>46</v>
      </c>
      <c r="J198">
        <v>0</v>
      </c>
      <c r="K198" t="s">
        <v>19</v>
      </c>
      <c r="L198" t="s">
        <v>28</v>
      </c>
      <c r="M198">
        <v>6</v>
      </c>
      <c r="N198" t="s">
        <v>83</v>
      </c>
      <c r="O198">
        <v>242.44</v>
      </c>
    </row>
    <row r="199" spans="1:15" x14ac:dyDescent="0.5">
      <c r="A199" t="s">
        <v>400</v>
      </c>
      <c r="B199" s="1">
        <v>45308</v>
      </c>
      <c r="C199" t="s">
        <v>136</v>
      </c>
      <c r="D199" t="s">
        <v>146</v>
      </c>
      <c r="E199" t="s">
        <v>78</v>
      </c>
      <c r="F199">
        <v>33</v>
      </c>
      <c r="H199">
        <v>31</v>
      </c>
      <c r="I199">
        <v>2146.58</v>
      </c>
      <c r="J199">
        <v>50</v>
      </c>
      <c r="K199" t="s">
        <v>27</v>
      </c>
      <c r="L199" t="s">
        <v>28</v>
      </c>
      <c r="M199">
        <v>9</v>
      </c>
      <c r="N199" t="s">
        <v>83</v>
      </c>
      <c r="O199">
        <v>26.2</v>
      </c>
    </row>
    <row r="200" spans="1:15" x14ac:dyDescent="0.5">
      <c r="A200" t="s">
        <v>401</v>
      </c>
      <c r="B200" s="1">
        <v>45418</v>
      </c>
      <c r="C200" t="s">
        <v>70</v>
      </c>
      <c r="D200" t="s">
        <v>58</v>
      </c>
      <c r="E200" t="s">
        <v>55</v>
      </c>
      <c r="F200">
        <v>53</v>
      </c>
      <c r="G200">
        <v>4</v>
      </c>
      <c r="H200">
        <v>60</v>
      </c>
      <c r="I200" t="s">
        <v>402</v>
      </c>
      <c r="J200">
        <v>75</v>
      </c>
      <c r="K200" t="s">
        <v>41</v>
      </c>
      <c r="L200" t="s">
        <v>28</v>
      </c>
      <c r="M200">
        <v>4</v>
      </c>
      <c r="N200" t="s">
        <v>83</v>
      </c>
      <c r="O200">
        <v>-52.8</v>
      </c>
    </row>
    <row r="201" spans="1:15" x14ac:dyDescent="0.5">
      <c r="A201" t="s">
        <v>403</v>
      </c>
      <c r="B201" s="1">
        <v>45362</v>
      </c>
      <c r="C201" t="s">
        <v>16</v>
      </c>
      <c r="D201" t="s">
        <v>54</v>
      </c>
      <c r="E201" t="s">
        <v>101</v>
      </c>
      <c r="F201">
        <v>63</v>
      </c>
      <c r="G201">
        <v>4.5999999999999996</v>
      </c>
      <c r="I201">
        <v>832.75</v>
      </c>
      <c r="J201">
        <v>100</v>
      </c>
      <c r="K201" t="s">
        <v>305</v>
      </c>
      <c r="L201" t="s">
        <v>28</v>
      </c>
      <c r="M201">
        <v>4</v>
      </c>
      <c r="N201" t="s">
        <v>35</v>
      </c>
      <c r="O201">
        <v>-2.87</v>
      </c>
    </row>
    <row r="202" spans="1:15" x14ac:dyDescent="0.5">
      <c r="A202" t="s">
        <v>404</v>
      </c>
      <c r="B202" s="4">
        <v>45410.484027777777</v>
      </c>
      <c r="C202" t="s">
        <v>76</v>
      </c>
      <c r="D202" t="s">
        <v>24</v>
      </c>
      <c r="E202" t="s">
        <v>78</v>
      </c>
      <c r="F202">
        <v>60</v>
      </c>
      <c r="G202">
        <v>2.4</v>
      </c>
      <c r="H202">
        <v>66</v>
      </c>
      <c r="I202">
        <v>1935.56</v>
      </c>
      <c r="J202" s="2">
        <v>0.6</v>
      </c>
      <c r="K202" t="s">
        <v>193</v>
      </c>
      <c r="L202" t="s">
        <v>42</v>
      </c>
      <c r="M202">
        <v>10</v>
      </c>
      <c r="N202" t="s">
        <v>51</v>
      </c>
      <c r="O202">
        <v>45.84</v>
      </c>
    </row>
    <row r="203" spans="1:15" x14ac:dyDescent="0.5">
      <c r="A203" t="s">
        <v>405</v>
      </c>
      <c r="B203" s="1">
        <v>45296</v>
      </c>
      <c r="C203" t="s">
        <v>81</v>
      </c>
      <c r="E203" t="s">
        <v>78</v>
      </c>
      <c r="F203">
        <v>36</v>
      </c>
      <c r="G203">
        <v>2.2000000000000002</v>
      </c>
      <c r="H203">
        <v>73</v>
      </c>
      <c r="I203">
        <v>256.74</v>
      </c>
      <c r="J203" s="2">
        <v>0.5</v>
      </c>
      <c r="K203" t="s">
        <v>41</v>
      </c>
      <c r="L203" t="s">
        <v>28</v>
      </c>
      <c r="M203">
        <v>4</v>
      </c>
      <c r="N203" t="s">
        <v>35</v>
      </c>
      <c r="O203">
        <v>189.91</v>
      </c>
    </row>
    <row r="204" spans="1:15" x14ac:dyDescent="0.5">
      <c r="A204" t="s">
        <v>406</v>
      </c>
      <c r="B204" s="1">
        <v>45371</v>
      </c>
      <c r="C204" t="s">
        <v>407</v>
      </c>
      <c r="D204" t="s">
        <v>49</v>
      </c>
      <c r="E204" t="s">
        <v>25</v>
      </c>
      <c r="F204">
        <v>54</v>
      </c>
      <c r="H204" t="s">
        <v>79</v>
      </c>
      <c r="I204">
        <v>2216.77</v>
      </c>
      <c r="J204">
        <v>150</v>
      </c>
      <c r="K204" t="s">
        <v>73</v>
      </c>
      <c r="L204" t="s">
        <v>28</v>
      </c>
      <c r="M204">
        <v>8</v>
      </c>
      <c r="N204" t="s">
        <v>43</v>
      </c>
      <c r="O204">
        <v>107.64</v>
      </c>
    </row>
    <row r="205" spans="1:15" x14ac:dyDescent="0.5">
      <c r="A205" t="s">
        <v>408</v>
      </c>
      <c r="B205" s="3">
        <v>45332</v>
      </c>
      <c r="C205" t="s">
        <v>37</v>
      </c>
      <c r="D205" t="s">
        <v>58</v>
      </c>
      <c r="E205" t="s">
        <v>409</v>
      </c>
      <c r="F205">
        <v>38</v>
      </c>
      <c r="G205">
        <v>1.7</v>
      </c>
      <c r="H205" t="s">
        <v>220</v>
      </c>
      <c r="I205" t="s">
        <v>410</v>
      </c>
      <c r="J205">
        <v>150</v>
      </c>
      <c r="K205" t="s">
        <v>41</v>
      </c>
      <c r="L205" t="s">
        <v>28</v>
      </c>
      <c r="M205">
        <v>3</v>
      </c>
      <c r="N205" t="s">
        <v>83</v>
      </c>
      <c r="O205" t="s">
        <v>411</v>
      </c>
    </row>
    <row r="206" spans="1:15" x14ac:dyDescent="0.5">
      <c r="A206" t="s">
        <v>412</v>
      </c>
      <c r="B206" t="s">
        <v>413</v>
      </c>
      <c r="C206" t="s">
        <v>414</v>
      </c>
      <c r="D206" t="s">
        <v>93</v>
      </c>
      <c r="E206" t="s">
        <v>33</v>
      </c>
      <c r="F206">
        <v>40</v>
      </c>
      <c r="G206">
        <v>3.9</v>
      </c>
      <c r="H206">
        <v>42</v>
      </c>
      <c r="I206" t="s">
        <v>415</v>
      </c>
      <c r="J206">
        <v>120</v>
      </c>
      <c r="K206" t="s">
        <v>27</v>
      </c>
      <c r="L206" t="s">
        <v>59</v>
      </c>
      <c r="M206">
        <v>7</v>
      </c>
      <c r="N206" t="s">
        <v>35</v>
      </c>
      <c r="O206" t="s">
        <v>416</v>
      </c>
    </row>
    <row r="207" spans="1:15" x14ac:dyDescent="0.5">
      <c r="A207" t="s">
        <v>417</v>
      </c>
      <c r="B207" s="4">
        <v>45378.272916666669</v>
      </c>
      <c r="C207" t="s">
        <v>16</v>
      </c>
      <c r="D207" t="s">
        <v>181</v>
      </c>
      <c r="E207" t="s">
        <v>18</v>
      </c>
      <c r="F207">
        <v>31</v>
      </c>
      <c r="G207">
        <v>2.6</v>
      </c>
      <c r="H207">
        <v>44</v>
      </c>
      <c r="I207">
        <v>628.79999999999995</v>
      </c>
      <c r="J207" s="2">
        <v>0.5</v>
      </c>
      <c r="K207" t="s">
        <v>27</v>
      </c>
      <c r="L207" t="s">
        <v>28</v>
      </c>
      <c r="M207">
        <v>1</v>
      </c>
      <c r="N207" t="s">
        <v>21</v>
      </c>
      <c r="O207">
        <v>173.29</v>
      </c>
    </row>
    <row r="208" spans="1:15" x14ac:dyDescent="0.5">
      <c r="A208" t="s">
        <v>418</v>
      </c>
      <c r="B208" s="1">
        <v>45437</v>
      </c>
      <c r="C208" t="s">
        <v>16</v>
      </c>
      <c r="D208" t="s">
        <v>49</v>
      </c>
      <c r="E208" t="s">
        <v>61</v>
      </c>
      <c r="G208">
        <v>2.8</v>
      </c>
      <c r="H208">
        <v>44</v>
      </c>
      <c r="I208">
        <v>1318.14</v>
      </c>
      <c r="K208" t="s">
        <v>19</v>
      </c>
      <c r="L208" t="s">
        <v>28</v>
      </c>
      <c r="M208">
        <v>6</v>
      </c>
      <c r="N208" t="s">
        <v>43</v>
      </c>
    </row>
    <row r="209" spans="1:15" x14ac:dyDescent="0.5">
      <c r="A209" t="s">
        <v>419</v>
      </c>
      <c r="B209" s="1">
        <v>45405</v>
      </c>
      <c r="C209" t="s">
        <v>76</v>
      </c>
      <c r="D209" t="s">
        <v>54</v>
      </c>
      <c r="E209" t="s">
        <v>61</v>
      </c>
      <c r="F209">
        <v>33</v>
      </c>
      <c r="G209">
        <v>3.8</v>
      </c>
      <c r="H209" t="s">
        <v>420</v>
      </c>
      <c r="I209">
        <v>1027.94</v>
      </c>
      <c r="J209">
        <v>0</v>
      </c>
      <c r="K209" t="s">
        <v>19</v>
      </c>
      <c r="L209" t="s">
        <v>42</v>
      </c>
      <c r="M209">
        <v>9</v>
      </c>
      <c r="N209" t="s">
        <v>35</v>
      </c>
      <c r="O209">
        <v>159.25</v>
      </c>
    </row>
    <row r="210" spans="1:15" x14ac:dyDescent="0.5">
      <c r="A210" t="s">
        <v>421</v>
      </c>
      <c r="B210" s="1">
        <v>45337</v>
      </c>
      <c r="C210" t="s">
        <v>23</v>
      </c>
      <c r="D210" t="s">
        <v>24</v>
      </c>
      <c r="E210" t="s">
        <v>33</v>
      </c>
      <c r="F210">
        <v>27</v>
      </c>
      <c r="G210">
        <v>4.2</v>
      </c>
      <c r="I210">
        <v>1027.78</v>
      </c>
      <c r="J210">
        <v>75</v>
      </c>
      <c r="K210" t="s">
        <v>103</v>
      </c>
      <c r="L210" t="s">
        <v>28</v>
      </c>
      <c r="M210">
        <v>10</v>
      </c>
      <c r="N210" t="s">
        <v>43</v>
      </c>
      <c r="O210">
        <v>74.86</v>
      </c>
    </row>
    <row r="211" spans="1:15" x14ac:dyDescent="0.5">
      <c r="A211" t="s">
        <v>422</v>
      </c>
      <c r="B211" s="1">
        <v>45419</v>
      </c>
      <c r="C211" t="s">
        <v>70</v>
      </c>
      <c r="D211" t="s">
        <v>146</v>
      </c>
      <c r="E211" t="s">
        <v>97</v>
      </c>
      <c r="F211">
        <v>34</v>
      </c>
      <c r="G211">
        <v>4</v>
      </c>
      <c r="H211">
        <v>77</v>
      </c>
      <c r="I211">
        <v>1631.25</v>
      </c>
      <c r="K211" t="s">
        <v>41</v>
      </c>
      <c r="L211" t="s">
        <v>28</v>
      </c>
      <c r="M211">
        <v>1</v>
      </c>
      <c r="N211" t="s">
        <v>29</v>
      </c>
      <c r="O211">
        <v>119.79</v>
      </c>
    </row>
    <row r="212" spans="1:15" x14ac:dyDescent="0.5">
      <c r="A212" t="s">
        <v>423</v>
      </c>
      <c r="B212" s="3">
        <v>45440</v>
      </c>
      <c r="C212" t="s">
        <v>424</v>
      </c>
      <c r="D212" t="s">
        <v>71</v>
      </c>
      <c r="E212" t="s">
        <v>18</v>
      </c>
      <c r="F212">
        <v>62</v>
      </c>
      <c r="G212">
        <v>4.9000000000000004</v>
      </c>
      <c r="H212">
        <v>63</v>
      </c>
      <c r="I212">
        <v>1514.87</v>
      </c>
      <c r="J212">
        <v>150</v>
      </c>
      <c r="K212" t="s">
        <v>19</v>
      </c>
      <c r="L212" t="s">
        <v>42</v>
      </c>
      <c r="M212">
        <v>5</v>
      </c>
      <c r="N212" t="s">
        <v>21</v>
      </c>
      <c r="O212" t="s">
        <v>425</v>
      </c>
    </row>
    <row r="213" spans="1:15" x14ac:dyDescent="0.5">
      <c r="A213" t="s">
        <v>426</v>
      </c>
      <c r="B213" s="4">
        <v>45459.409722222219</v>
      </c>
      <c r="C213" t="s">
        <v>136</v>
      </c>
      <c r="D213" t="s">
        <v>88</v>
      </c>
      <c r="E213" t="s">
        <v>33</v>
      </c>
      <c r="F213">
        <v>44</v>
      </c>
      <c r="G213">
        <v>4.7</v>
      </c>
      <c r="H213" t="s">
        <v>303</v>
      </c>
      <c r="I213">
        <v>515.38</v>
      </c>
      <c r="J213" s="2">
        <v>0.2</v>
      </c>
      <c r="K213" t="s">
        <v>19</v>
      </c>
      <c r="M213">
        <v>1</v>
      </c>
      <c r="N213" t="s">
        <v>29</v>
      </c>
      <c r="O213">
        <v>-48.04</v>
      </c>
    </row>
    <row r="214" spans="1:15" x14ac:dyDescent="0.5">
      <c r="B214" s="3">
        <v>45446</v>
      </c>
      <c r="C214" t="s">
        <v>23</v>
      </c>
      <c r="D214" t="s">
        <v>38</v>
      </c>
      <c r="E214" t="s">
        <v>25</v>
      </c>
      <c r="F214">
        <v>40</v>
      </c>
      <c r="G214">
        <v>4.2</v>
      </c>
      <c r="I214">
        <v>2191.89</v>
      </c>
      <c r="J214">
        <v>50</v>
      </c>
      <c r="K214" t="s">
        <v>19</v>
      </c>
      <c r="L214" t="s">
        <v>42</v>
      </c>
      <c r="M214">
        <v>8</v>
      </c>
      <c r="N214" t="s">
        <v>51</v>
      </c>
      <c r="O214">
        <v>245.44</v>
      </c>
    </row>
    <row r="215" spans="1:15" x14ac:dyDescent="0.5">
      <c r="A215" t="s">
        <v>427</v>
      </c>
      <c r="B215" s="4">
        <v>45303.462500000001</v>
      </c>
      <c r="C215" t="s">
        <v>66</v>
      </c>
      <c r="D215" t="s">
        <v>71</v>
      </c>
      <c r="E215" t="s">
        <v>97</v>
      </c>
      <c r="F215">
        <v>51</v>
      </c>
      <c r="G215">
        <v>4.0999999999999996</v>
      </c>
      <c r="H215">
        <v>19</v>
      </c>
      <c r="I215">
        <v>424.31</v>
      </c>
      <c r="J215" s="2">
        <v>0.6</v>
      </c>
      <c r="K215" t="s">
        <v>41</v>
      </c>
      <c r="L215" t="s">
        <v>28</v>
      </c>
      <c r="M215">
        <v>2</v>
      </c>
      <c r="N215" t="s">
        <v>21</v>
      </c>
      <c r="O215">
        <v>-27.12</v>
      </c>
    </row>
    <row r="216" spans="1:15" x14ac:dyDescent="0.5">
      <c r="A216" t="s">
        <v>428</v>
      </c>
      <c r="B216" s="4">
        <v>45348.365972222222</v>
      </c>
      <c r="C216" t="s">
        <v>112</v>
      </c>
      <c r="D216" t="s">
        <v>93</v>
      </c>
      <c r="E216" t="s">
        <v>78</v>
      </c>
      <c r="F216">
        <v>63</v>
      </c>
      <c r="G216">
        <v>3.9</v>
      </c>
      <c r="H216">
        <v>70</v>
      </c>
      <c r="I216">
        <v>2044.11</v>
      </c>
      <c r="J216" s="2">
        <v>0.1</v>
      </c>
      <c r="K216" t="s">
        <v>19</v>
      </c>
      <c r="L216" t="s">
        <v>28</v>
      </c>
      <c r="M216">
        <v>7</v>
      </c>
      <c r="N216" t="s">
        <v>51</v>
      </c>
      <c r="O216">
        <v>114.72</v>
      </c>
    </row>
    <row r="217" spans="1:15" x14ac:dyDescent="0.5">
      <c r="A217" t="s">
        <v>429</v>
      </c>
      <c r="B217" s="4">
        <v>45489.518750000003</v>
      </c>
      <c r="C217" t="s">
        <v>136</v>
      </c>
      <c r="D217" t="s">
        <v>88</v>
      </c>
      <c r="E217" t="s">
        <v>101</v>
      </c>
      <c r="F217">
        <v>27</v>
      </c>
      <c r="G217">
        <v>4.4000000000000004</v>
      </c>
      <c r="H217">
        <v>19</v>
      </c>
      <c r="I217">
        <v>1545.34</v>
      </c>
      <c r="J217">
        <v>0</v>
      </c>
      <c r="K217" t="s">
        <v>73</v>
      </c>
      <c r="L217" t="s">
        <v>42</v>
      </c>
      <c r="M217">
        <v>6</v>
      </c>
      <c r="N217" t="s">
        <v>35</v>
      </c>
      <c r="O217">
        <v>161.78</v>
      </c>
    </row>
    <row r="218" spans="1:15" x14ac:dyDescent="0.5">
      <c r="A218" t="s">
        <v>430</v>
      </c>
      <c r="B218" s="3">
        <v>45490</v>
      </c>
      <c r="C218" t="s">
        <v>31</v>
      </c>
      <c r="D218" t="s">
        <v>17</v>
      </c>
      <c r="E218" t="s">
        <v>61</v>
      </c>
      <c r="F218">
        <v>62</v>
      </c>
      <c r="G218">
        <v>3.8</v>
      </c>
      <c r="H218">
        <v>27</v>
      </c>
      <c r="I218">
        <v>431.54</v>
      </c>
      <c r="J218">
        <v>0</v>
      </c>
      <c r="K218" t="s">
        <v>27</v>
      </c>
      <c r="L218" t="s">
        <v>28</v>
      </c>
      <c r="M218">
        <v>4</v>
      </c>
      <c r="N218" t="s">
        <v>29</v>
      </c>
      <c r="O218">
        <v>39.53</v>
      </c>
    </row>
    <row r="219" spans="1:15" x14ac:dyDescent="0.5">
      <c r="A219" t="s">
        <v>431</v>
      </c>
      <c r="B219" s="3">
        <v>45329</v>
      </c>
      <c r="C219" t="s">
        <v>70</v>
      </c>
      <c r="D219" t="s">
        <v>236</v>
      </c>
      <c r="E219" t="s">
        <v>18</v>
      </c>
      <c r="F219">
        <v>43</v>
      </c>
      <c r="G219">
        <v>1.5</v>
      </c>
      <c r="H219">
        <v>53</v>
      </c>
      <c r="I219">
        <v>1757.4</v>
      </c>
      <c r="J219">
        <v>100</v>
      </c>
      <c r="K219" t="s">
        <v>27</v>
      </c>
      <c r="L219" t="s">
        <v>28</v>
      </c>
      <c r="M219">
        <v>8</v>
      </c>
      <c r="O219">
        <v>-41.51</v>
      </c>
    </row>
    <row r="220" spans="1:15" x14ac:dyDescent="0.5">
      <c r="A220" t="s">
        <v>432</v>
      </c>
      <c r="B220" t="s">
        <v>207</v>
      </c>
      <c r="C220" t="s">
        <v>122</v>
      </c>
      <c r="D220" t="s">
        <v>71</v>
      </c>
      <c r="E220" t="s">
        <v>78</v>
      </c>
      <c r="F220">
        <v>52</v>
      </c>
      <c r="G220">
        <v>4.3</v>
      </c>
      <c r="I220">
        <v>1443.42</v>
      </c>
      <c r="J220">
        <v>100</v>
      </c>
      <c r="K220" t="s">
        <v>19</v>
      </c>
      <c r="L220" t="s">
        <v>28</v>
      </c>
      <c r="M220">
        <v>2</v>
      </c>
      <c r="N220" t="s">
        <v>35</v>
      </c>
      <c r="O220">
        <v>-78.239999999999995</v>
      </c>
    </row>
    <row r="221" spans="1:15" x14ac:dyDescent="0.5">
      <c r="A221" t="s">
        <v>433</v>
      </c>
      <c r="B221" s="1">
        <v>45344</v>
      </c>
      <c r="C221" t="s">
        <v>37</v>
      </c>
      <c r="D221" t="s">
        <v>54</v>
      </c>
      <c r="E221" t="s">
        <v>268</v>
      </c>
      <c r="F221">
        <v>36</v>
      </c>
      <c r="G221">
        <v>2.8</v>
      </c>
      <c r="H221">
        <v>55</v>
      </c>
      <c r="I221">
        <v>1363.95</v>
      </c>
      <c r="J221" s="2">
        <v>0.6</v>
      </c>
      <c r="K221" t="s">
        <v>103</v>
      </c>
      <c r="L221" t="s">
        <v>42</v>
      </c>
      <c r="M221">
        <v>4</v>
      </c>
      <c r="N221" t="s">
        <v>35</v>
      </c>
      <c r="O221">
        <v>38.49</v>
      </c>
    </row>
    <row r="222" spans="1:15" x14ac:dyDescent="0.5">
      <c r="A222" t="s">
        <v>434</v>
      </c>
      <c r="B222" s="1">
        <v>45446</v>
      </c>
      <c r="C222" t="s">
        <v>435</v>
      </c>
      <c r="D222" t="s">
        <v>71</v>
      </c>
      <c r="E222" t="s">
        <v>101</v>
      </c>
      <c r="F222">
        <v>60</v>
      </c>
      <c r="G222">
        <v>3</v>
      </c>
      <c r="H222" t="s">
        <v>353</v>
      </c>
      <c r="I222">
        <v>485.31</v>
      </c>
      <c r="J222">
        <v>0</v>
      </c>
      <c r="K222" t="s">
        <v>103</v>
      </c>
      <c r="L222" t="s">
        <v>28</v>
      </c>
      <c r="M222">
        <v>6</v>
      </c>
      <c r="N222" t="s">
        <v>83</v>
      </c>
      <c r="O222" t="s">
        <v>436</v>
      </c>
    </row>
    <row r="223" spans="1:15" x14ac:dyDescent="0.5">
      <c r="A223" t="s">
        <v>437</v>
      </c>
      <c r="B223" s="1">
        <v>45318</v>
      </c>
      <c r="C223" t="s">
        <v>31</v>
      </c>
      <c r="D223" t="s">
        <v>38</v>
      </c>
      <c r="E223" t="s">
        <v>72</v>
      </c>
      <c r="F223">
        <v>42</v>
      </c>
      <c r="G223">
        <v>4.2</v>
      </c>
      <c r="H223">
        <v>66</v>
      </c>
      <c r="I223" t="s">
        <v>438</v>
      </c>
      <c r="K223" t="s">
        <v>103</v>
      </c>
      <c r="L223" t="s">
        <v>28</v>
      </c>
      <c r="M223">
        <v>6</v>
      </c>
      <c r="N223" t="s">
        <v>29</v>
      </c>
      <c r="O223">
        <v>58.02</v>
      </c>
    </row>
    <row r="224" spans="1:15" x14ac:dyDescent="0.5">
      <c r="A224" t="s">
        <v>439</v>
      </c>
      <c r="B224" s="1">
        <v>45411</v>
      </c>
      <c r="C224" t="s">
        <v>70</v>
      </c>
      <c r="D224" t="s">
        <v>93</v>
      </c>
      <c r="E224" t="s">
        <v>440</v>
      </c>
      <c r="F224">
        <v>28</v>
      </c>
      <c r="G224">
        <v>1.3</v>
      </c>
      <c r="H224">
        <v>78</v>
      </c>
      <c r="J224">
        <v>150</v>
      </c>
      <c r="K224" t="s">
        <v>103</v>
      </c>
      <c r="L224" t="s">
        <v>28</v>
      </c>
      <c r="M224">
        <v>1</v>
      </c>
      <c r="N224" t="s">
        <v>29</v>
      </c>
      <c r="O224">
        <v>33.869999999999997</v>
      </c>
    </row>
    <row r="225" spans="1:15" x14ac:dyDescent="0.5">
      <c r="A225" t="s">
        <v>441</v>
      </c>
      <c r="B225" s="4">
        <v>45427.972222222219</v>
      </c>
      <c r="C225" t="s">
        <v>122</v>
      </c>
      <c r="D225" t="s">
        <v>58</v>
      </c>
      <c r="E225" t="s">
        <v>61</v>
      </c>
      <c r="F225">
        <v>25</v>
      </c>
      <c r="G225">
        <v>3.7</v>
      </c>
      <c r="H225">
        <v>30</v>
      </c>
      <c r="I225">
        <v>810.35</v>
      </c>
      <c r="J225" s="2">
        <v>0.1</v>
      </c>
      <c r="K225" t="s">
        <v>27</v>
      </c>
      <c r="L225" t="s">
        <v>20</v>
      </c>
      <c r="M225">
        <v>8</v>
      </c>
      <c r="N225" t="s">
        <v>21</v>
      </c>
      <c r="O225">
        <v>28.42</v>
      </c>
    </row>
    <row r="226" spans="1:15" x14ac:dyDescent="0.5">
      <c r="B226" s="1">
        <v>45358</v>
      </c>
      <c r="C226" t="s">
        <v>46</v>
      </c>
      <c r="D226" t="s">
        <v>442</v>
      </c>
      <c r="E226" t="s">
        <v>101</v>
      </c>
      <c r="F226">
        <v>29</v>
      </c>
      <c r="G226">
        <v>2.1</v>
      </c>
      <c r="H226">
        <v>71</v>
      </c>
      <c r="I226">
        <v>505.17</v>
      </c>
      <c r="J226">
        <v>75</v>
      </c>
      <c r="K226" t="s">
        <v>27</v>
      </c>
      <c r="L226" t="s">
        <v>28</v>
      </c>
      <c r="N226" t="s">
        <v>29</v>
      </c>
      <c r="O226">
        <v>139.53</v>
      </c>
    </row>
    <row r="227" spans="1:15" x14ac:dyDescent="0.5">
      <c r="A227" t="s">
        <v>443</v>
      </c>
      <c r="B227" t="s">
        <v>444</v>
      </c>
      <c r="C227" t="s">
        <v>70</v>
      </c>
      <c r="D227" t="s">
        <v>93</v>
      </c>
      <c r="E227" t="s">
        <v>61</v>
      </c>
      <c r="F227">
        <v>39</v>
      </c>
      <c r="G227">
        <v>3.4</v>
      </c>
      <c r="I227">
        <v>1262.8599999999999</v>
      </c>
      <c r="K227" t="s">
        <v>41</v>
      </c>
      <c r="L227" t="s">
        <v>42</v>
      </c>
      <c r="M227">
        <v>4</v>
      </c>
      <c r="N227" t="s">
        <v>29</v>
      </c>
      <c r="O227">
        <v>153.13</v>
      </c>
    </row>
    <row r="228" spans="1:15" x14ac:dyDescent="0.5">
      <c r="A228" t="s">
        <v>445</v>
      </c>
      <c r="B228" s="3">
        <v>45338</v>
      </c>
      <c r="C228" t="s">
        <v>122</v>
      </c>
      <c r="D228" t="s">
        <v>54</v>
      </c>
      <c r="E228" t="s">
        <v>78</v>
      </c>
      <c r="F228">
        <v>62</v>
      </c>
      <c r="G228">
        <v>1.9</v>
      </c>
      <c r="H228">
        <v>76</v>
      </c>
      <c r="I228">
        <v>266.01</v>
      </c>
      <c r="K228" t="s">
        <v>19</v>
      </c>
      <c r="L228" t="s">
        <v>28</v>
      </c>
      <c r="M228">
        <v>1</v>
      </c>
      <c r="N228" t="s">
        <v>21</v>
      </c>
      <c r="O228">
        <v>14.15</v>
      </c>
    </row>
    <row r="229" spans="1:15" x14ac:dyDescent="0.5">
      <c r="A229" t="s">
        <v>446</v>
      </c>
      <c r="B229" s="1">
        <v>45415</v>
      </c>
      <c r="C229" t="s">
        <v>23</v>
      </c>
      <c r="D229" t="s">
        <v>49</v>
      </c>
      <c r="E229" t="s">
        <v>78</v>
      </c>
      <c r="F229">
        <v>42</v>
      </c>
      <c r="G229">
        <v>1.4</v>
      </c>
      <c r="H229">
        <v>30</v>
      </c>
      <c r="I229">
        <v>217.67</v>
      </c>
      <c r="J229">
        <v>50</v>
      </c>
      <c r="K229" t="s">
        <v>68</v>
      </c>
      <c r="L229" t="s">
        <v>28</v>
      </c>
      <c r="M229">
        <v>4</v>
      </c>
      <c r="N229" t="s">
        <v>74</v>
      </c>
      <c r="O229">
        <v>-16.739999999999998</v>
      </c>
    </row>
    <row r="230" spans="1:15" x14ac:dyDescent="0.5">
      <c r="A230" t="s">
        <v>447</v>
      </c>
      <c r="B230" s="3">
        <v>45435</v>
      </c>
      <c r="C230" t="s">
        <v>81</v>
      </c>
      <c r="D230" t="s">
        <v>88</v>
      </c>
      <c r="E230" t="s">
        <v>78</v>
      </c>
      <c r="F230">
        <v>21</v>
      </c>
      <c r="G230">
        <v>3.8</v>
      </c>
      <c r="H230">
        <v>65</v>
      </c>
      <c r="I230">
        <v>1298.1600000000001</v>
      </c>
      <c r="J230">
        <v>0</v>
      </c>
      <c r="K230" t="s">
        <v>68</v>
      </c>
      <c r="L230" t="s">
        <v>28</v>
      </c>
      <c r="M230">
        <v>3</v>
      </c>
      <c r="N230" t="s">
        <v>51</v>
      </c>
      <c r="O230">
        <v>210.12</v>
      </c>
    </row>
    <row r="231" spans="1:15" x14ac:dyDescent="0.5">
      <c r="A231" t="s">
        <v>448</v>
      </c>
      <c r="B231" t="s">
        <v>449</v>
      </c>
      <c r="C231" t="s">
        <v>66</v>
      </c>
      <c r="D231" t="s">
        <v>160</v>
      </c>
      <c r="E231" t="s">
        <v>33</v>
      </c>
      <c r="F231">
        <v>21</v>
      </c>
      <c r="G231">
        <v>2</v>
      </c>
      <c r="H231">
        <v>29</v>
      </c>
      <c r="I231">
        <v>123.33</v>
      </c>
      <c r="J231">
        <v>75</v>
      </c>
      <c r="K231" t="s">
        <v>73</v>
      </c>
      <c r="L231" t="s">
        <v>42</v>
      </c>
      <c r="M231">
        <v>1</v>
      </c>
      <c r="N231" t="s">
        <v>29</v>
      </c>
      <c r="O231">
        <v>-7.64</v>
      </c>
    </row>
    <row r="232" spans="1:15" x14ac:dyDescent="0.5">
      <c r="A232" t="s">
        <v>450</v>
      </c>
      <c r="B232" s="3">
        <v>45429</v>
      </c>
      <c r="C232" t="s">
        <v>122</v>
      </c>
      <c r="D232" t="s">
        <v>146</v>
      </c>
      <c r="E232" t="s">
        <v>101</v>
      </c>
      <c r="F232">
        <v>46</v>
      </c>
      <c r="G232">
        <v>3.9</v>
      </c>
      <c r="H232">
        <v>76</v>
      </c>
      <c r="I232">
        <v>342.98</v>
      </c>
      <c r="J232" s="2">
        <v>0.15</v>
      </c>
      <c r="K232" t="s">
        <v>68</v>
      </c>
      <c r="M232">
        <v>3</v>
      </c>
      <c r="N232" t="s">
        <v>43</v>
      </c>
      <c r="O232">
        <v>-32.64</v>
      </c>
    </row>
    <row r="233" spans="1:15" x14ac:dyDescent="0.5">
      <c r="A233" t="s">
        <v>451</v>
      </c>
      <c r="B233" s="4">
        <v>45395.142361111109</v>
      </c>
      <c r="C233" t="s">
        <v>136</v>
      </c>
      <c r="D233" t="s">
        <v>452</v>
      </c>
      <c r="E233" t="s">
        <v>39</v>
      </c>
      <c r="F233">
        <v>56</v>
      </c>
      <c r="H233">
        <v>28</v>
      </c>
      <c r="I233">
        <v>1410.84</v>
      </c>
      <c r="J233">
        <v>0</v>
      </c>
      <c r="K233" t="s">
        <v>68</v>
      </c>
      <c r="L233" t="s">
        <v>42</v>
      </c>
      <c r="M233">
        <v>9</v>
      </c>
      <c r="N233" t="s">
        <v>29</v>
      </c>
    </row>
    <row r="234" spans="1:15" x14ac:dyDescent="0.5">
      <c r="A234" t="s">
        <v>453</v>
      </c>
      <c r="D234" t="s">
        <v>71</v>
      </c>
      <c r="E234" t="s">
        <v>55</v>
      </c>
      <c r="F234">
        <v>25</v>
      </c>
      <c r="G234">
        <v>4.8</v>
      </c>
      <c r="H234">
        <v>24</v>
      </c>
      <c r="I234" t="s">
        <v>454</v>
      </c>
      <c r="J234">
        <v>0</v>
      </c>
      <c r="K234" t="s">
        <v>19</v>
      </c>
      <c r="L234" t="s">
        <v>28</v>
      </c>
      <c r="M234">
        <v>5</v>
      </c>
      <c r="N234" t="s">
        <v>51</v>
      </c>
      <c r="O234">
        <v>-45.71</v>
      </c>
    </row>
    <row r="235" spans="1:15" x14ac:dyDescent="0.5">
      <c r="A235" t="s">
        <v>455</v>
      </c>
      <c r="B235" s="4">
        <v>45474.10833333333</v>
      </c>
      <c r="C235" t="s">
        <v>136</v>
      </c>
      <c r="D235" t="s">
        <v>24</v>
      </c>
      <c r="E235" t="s">
        <v>101</v>
      </c>
      <c r="F235">
        <v>40</v>
      </c>
      <c r="G235">
        <v>2.7</v>
      </c>
      <c r="H235">
        <v>67</v>
      </c>
      <c r="I235">
        <v>1552.15</v>
      </c>
      <c r="J235" s="2">
        <v>0.15</v>
      </c>
      <c r="K235" t="s">
        <v>41</v>
      </c>
      <c r="L235" t="s">
        <v>28</v>
      </c>
      <c r="M235">
        <v>7</v>
      </c>
      <c r="N235" t="s">
        <v>51</v>
      </c>
      <c r="O235">
        <v>166.93</v>
      </c>
    </row>
    <row r="236" spans="1:15" x14ac:dyDescent="0.5">
      <c r="A236" t="s">
        <v>314</v>
      </c>
      <c r="B236" s="1">
        <v>45326</v>
      </c>
      <c r="C236" t="s">
        <v>435</v>
      </c>
      <c r="D236" t="s">
        <v>49</v>
      </c>
      <c r="E236" t="s">
        <v>55</v>
      </c>
      <c r="F236">
        <v>62</v>
      </c>
      <c r="G236">
        <v>2.5</v>
      </c>
      <c r="I236">
        <v>2416.4899999999998</v>
      </c>
      <c r="J236">
        <v>150</v>
      </c>
      <c r="K236" t="s">
        <v>103</v>
      </c>
      <c r="L236" t="s">
        <v>28</v>
      </c>
      <c r="M236">
        <v>1</v>
      </c>
      <c r="N236" t="s">
        <v>51</v>
      </c>
      <c r="O236">
        <v>172.59</v>
      </c>
    </row>
    <row r="237" spans="1:15" x14ac:dyDescent="0.5">
      <c r="A237" t="s">
        <v>456</v>
      </c>
      <c r="B237" t="s">
        <v>457</v>
      </c>
      <c r="C237" t="s">
        <v>458</v>
      </c>
      <c r="D237" t="s">
        <v>284</v>
      </c>
      <c r="E237" t="s">
        <v>459</v>
      </c>
      <c r="F237">
        <v>47</v>
      </c>
      <c r="G237">
        <v>4.3</v>
      </c>
      <c r="H237">
        <v>79</v>
      </c>
      <c r="I237">
        <v>848.36</v>
      </c>
      <c r="J237">
        <v>75</v>
      </c>
      <c r="K237" t="s">
        <v>19</v>
      </c>
      <c r="L237" t="s">
        <v>42</v>
      </c>
      <c r="M237">
        <v>9</v>
      </c>
      <c r="N237" t="s">
        <v>51</v>
      </c>
      <c r="O237">
        <v>74.58</v>
      </c>
    </row>
    <row r="238" spans="1:15" x14ac:dyDescent="0.5">
      <c r="A238" t="s">
        <v>460</v>
      </c>
      <c r="B238" s="3">
        <v>45334</v>
      </c>
      <c r="C238" t="s">
        <v>112</v>
      </c>
      <c r="E238" t="s">
        <v>101</v>
      </c>
      <c r="G238">
        <v>1.8</v>
      </c>
      <c r="H238" t="s">
        <v>255</v>
      </c>
      <c r="I238">
        <v>197.03</v>
      </c>
      <c r="J238">
        <v>120</v>
      </c>
      <c r="K238" t="s">
        <v>19</v>
      </c>
      <c r="L238" t="s">
        <v>59</v>
      </c>
      <c r="M238">
        <v>5</v>
      </c>
      <c r="N238" t="s">
        <v>43</v>
      </c>
      <c r="O238">
        <v>48.91</v>
      </c>
    </row>
    <row r="239" spans="1:15" x14ac:dyDescent="0.5">
      <c r="A239" t="s">
        <v>461</v>
      </c>
      <c r="B239" s="3">
        <v>45376</v>
      </c>
      <c r="C239" t="s">
        <v>37</v>
      </c>
      <c r="D239" t="s">
        <v>71</v>
      </c>
      <c r="E239" t="s">
        <v>33</v>
      </c>
      <c r="F239">
        <v>63</v>
      </c>
      <c r="G239">
        <v>1.9</v>
      </c>
      <c r="H239">
        <v>33</v>
      </c>
      <c r="I239">
        <v>1949.81</v>
      </c>
      <c r="J239">
        <v>120</v>
      </c>
      <c r="K239" t="s">
        <v>27</v>
      </c>
      <c r="L239" t="s">
        <v>28</v>
      </c>
      <c r="M239">
        <v>7</v>
      </c>
      <c r="N239" t="s">
        <v>21</v>
      </c>
      <c r="O239">
        <v>47.92</v>
      </c>
    </row>
    <row r="240" spans="1:15" x14ac:dyDescent="0.5">
      <c r="A240" t="s">
        <v>462</v>
      </c>
      <c r="B240" s="4">
        <v>45331.806250000001</v>
      </c>
      <c r="C240" t="s">
        <v>463</v>
      </c>
      <c r="D240" t="s">
        <v>54</v>
      </c>
      <c r="E240" t="s">
        <v>97</v>
      </c>
      <c r="F240">
        <v>22</v>
      </c>
      <c r="G240">
        <v>2.5</v>
      </c>
      <c r="H240" t="s">
        <v>464</v>
      </c>
      <c r="I240">
        <v>1811.36</v>
      </c>
      <c r="J240">
        <v>75</v>
      </c>
      <c r="K240" t="s">
        <v>41</v>
      </c>
      <c r="L240" t="s">
        <v>28</v>
      </c>
      <c r="M240">
        <v>7</v>
      </c>
      <c r="N240" t="s">
        <v>51</v>
      </c>
      <c r="O240">
        <v>41.02</v>
      </c>
    </row>
    <row r="241" spans="1:15" x14ac:dyDescent="0.5">
      <c r="A241" t="s">
        <v>465</v>
      </c>
      <c r="B241" t="s">
        <v>444</v>
      </c>
      <c r="C241" t="s">
        <v>414</v>
      </c>
      <c r="D241" t="s">
        <v>17</v>
      </c>
      <c r="E241" t="s">
        <v>39</v>
      </c>
      <c r="F241">
        <v>22</v>
      </c>
      <c r="G241">
        <v>4.5</v>
      </c>
      <c r="H241">
        <v>59</v>
      </c>
      <c r="I241">
        <v>1228.79</v>
      </c>
      <c r="J241">
        <v>100</v>
      </c>
      <c r="K241" t="s">
        <v>19</v>
      </c>
      <c r="L241" t="s">
        <v>28</v>
      </c>
      <c r="M241">
        <v>6</v>
      </c>
      <c r="N241" t="s">
        <v>83</v>
      </c>
      <c r="O241">
        <v>151.76</v>
      </c>
    </row>
    <row r="242" spans="1:15" x14ac:dyDescent="0.5">
      <c r="A242" t="s">
        <v>466</v>
      </c>
      <c r="B242" s="4">
        <v>45412.206944444442</v>
      </c>
      <c r="C242" t="s">
        <v>76</v>
      </c>
      <c r="D242" t="s">
        <v>38</v>
      </c>
      <c r="E242" t="s">
        <v>25</v>
      </c>
      <c r="F242">
        <v>58</v>
      </c>
      <c r="G242">
        <v>1.6</v>
      </c>
      <c r="H242">
        <v>25</v>
      </c>
      <c r="I242">
        <v>830.04</v>
      </c>
      <c r="J242">
        <v>120</v>
      </c>
      <c r="K242" t="s">
        <v>68</v>
      </c>
      <c r="L242" t="s">
        <v>28</v>
      </c>
      <c r="M242">
        <v>5</v>
      </c>
      <c r="N242" t="s">
        <v>35</v>
      </c>
      <c r="O242">
        <v>78.94</v>
      </c>
    </row>
    <row r="243" spans="1:15" x14ac:dyDescent="0.5">
      <c r="A243" t="s">
        <v>467</v>
      </c>
      <c r="B243" s="3">
        <v>45403</v>
      </c>
      <c r="C243" t="s">
        <v>468</v>
      </c>
      <c r="D243" t="s">
        <v>146</v>
      </c>
      <c r="E243" t="s">
        <v>33</v>
      </c>
      <c r="F243">
        <v>65</v>
      </c>
      <c r="G243">
        <v>1.1000000000000001</v>
      </c>
      <c r="H243">
        <v>33</v>
      </c>
      <c r="I243">
        <v>1308.68</v>
      </c>
      <c r="J243">
        <v>150</v>
      </c>
      <c r="K243" t="s">
        <v>41</v>
      </c>
      <c r="L243" t="s">
        <v>42</v>
      </c>
      <c r="M243">
        <v>1</v>
      </c>
      <c r="N243" t="s">
        <v>35</v>
      </c>
      <c r="O243">
        <v>149.83000000000001</v>
      </c>
    </row>
    <row r="244" spans="1:15" x14ac:dyDescent="0.5">
      <c r="A244" t="s">
        <v>469</v>
      </c>
      <c r="B244" s="3">
        <v>45345</v>
      </c>
      <c r="C244" t="s">
        <v>122</v>
      </c>
      <c r="D244" t="s">
        <v>54</v>
      </c>
      <c r="E244" t="s">
        <v>67</v>
      </c>
      <c r="F244">
        <v>39</v>
      </c>
      <c r="G244">
        <v>1.7</v>
      </c>
      <c r="H244">
        <v>37</v>
      </c>
      <c r="I244">
        <v>1435.55</v>
      </c>
      <c r="J244">
        <v>75</v>
      </c>
      <c r="K244" t="s">
        <v>27</v>
      </c>
      <c r="L244" t="s">
        <v>28</v>
      </c>
      <c r="M244">
        <v>2</v>
      </c>
      <c r="N244" t="s">
        <v>470</v>
      </c>
      <c r="O244">
        <v>227.72</v>
      </c>
    </row>
    <row r="245" spans="1:15" x14ac:dyDescent="0.5">
      <c r="A245" t="s">
        <v>471</v>
      </c>
      <c r="B245" s="4">
        <v>45431.14166666667</v>
      </c>
      <c r="C245" t="s">
        <v>472</v>
      </c>
      <c r="D245" t="s">
        <v>71</v>
      </c>
      <c r="E245" t="s">
        <v>97</v>
      </c>
      <c r="F245">
        <v>47</v>
      </c>
      <c r="G245">
        <v>4.3</v>
      </c>
      <c r="H245">
        <v>65</v>
      </c>
      <c r="I245">
        <v>138.1</v>
      </c>
      <c r="J245" s="2">
        <v>0.2</v>
      </c>
      <c r="K245" t="s">
        <v>73</v>
      </c>
      <c r="L245" t="s">
        <v>20</v>
      </c>
      <c r="N245" t="s">
        <v>21</v>
      </c>
      <c r="O245">
        <v>189.51</v>
      </c>
    </row>
    <row r="246" spans="1:15" x14ac:dyDescent="0.5">
      <c r="A246" t="s">
        <v>473</v>
      </c>
      <c r="B246" s="1">
        <v>45438</v>
      </c>
      <c r="C246" t="s">
        <v>70</v>
      </c>
      <c r="D246" t="s">
        <v>146</v>
      </c>
      <c r="E246" t="s">
        <v>33</v>
      </c>
      <c r="F246">
        <v>63</v>
      </c>
      <c r="G246">
        <v>3</v>
      </c>
      <c r="H246">
        <v>65</v>
      </c>
      <c r="I246">
        <v>2126.41</v>
      </c>
      <c r="J246" s="2">
        <v>0.6</v>
      </c>
      <c r="K246" t="s">
        <v>68</v>
      </c>
      <c r="M246">
        <v>3</v>
      </c>
      <c r="N246" t="s">
        <v>21</v>
      </c>
      <c r="O246">
        <v>240.89</v>
      </c>
    </row>
    <row r="247" spans="1:15" x14ac:dyDescent="0.5">
      <c r="B247" s="3">
        <v>45479</v>
      </c>
      <c r="C247" t="s">
        <v>112</v>
      </c>
      <c r="D247" t="s">
        <v>54</v>
      </c>
      <c r="E247" t="s">
        <v>55</v>
      </c>
      <c r="F247">
        <v>58</v>
      </c>
      <c r="H247">
        <v>28</v>
      </c>
      <c r="I247">
        <v>384.02</v>
      </c>
      <c r="J247" s="2">
        <v>0.15</v>
      </c>
      <c r="K247" t="s">
        <v>73</v>
      </c>
      <c r="L247" t="s">
        <v>59</v>
      </c>
      <c r="M247">
        <v>1</v>
      </c>
      <c r="N247" t="s">
        <v>43</v>
      </c>
      <c r="O247">
        <v>-54.82</v>
      </c>
    </row>
    <row r="248" spans="1:15" x14ac:dyDescent="0.5">
      <c r="A248" t="s">
        <v>474</v>
      </c>
      <c r="B248" s="1">
        <v>45407</v>
      </c>
      <c r="C248" t="s">
        <v>46</v>
      </c>
      <c r="D248" t="s">
        <v>93</v>
      </c>
      <c r="E248" t="s">
        <v>475</v>
      </c>
      <c r="F248">
        <v>25</v>
      </c>
      <c r="G248">
        <v>1.1000000000000001</v>
      </c>
      <c r="I248">
        <v>1337.95</v>
      </c>
      <c r="J248">
        <v>0</v>
      </c>
      <c r="L248" t="s">
        <v>42</v>
      </c>
      <c r="M248">
        <v>5</v>
      </c>
      <c r="N248" t="s">
        <v>83</v>
      </c>
      <c r="O248">
        <v>35.020000000000003</v>
      </c>
    </row>
    <row r="249" spans="1:15" x14ac:dyDescent="0.5">
      <c r="A249" t="s">
        <v>476</v>
      </c>
      <c r="B249" s="1">
        <v>45448</v>
      </c>
      <c r="C249" t="s">
        <v>70</v>
      </c>
      <c r="D249" t="s">
        <v>54</v>
      </c>
      <c r="E249" t="s">
        <v>78</v>
      </c>
      <c r="F249">
        <v>46</v>
      </c>
      <c r="G249">
        <v>4</v>
      </c>
      <c r="H249">
        <v>28</v>
      </c>
      <c r="I249">
        <v>1565.36</v>
      </c>
      <c r="J249">
        <v>75</v>
      </c>
      <c r="K249" t="s">
        <v>27</v>
      </c>
      <c r="L249" t="s">
        <v>28</v>
      </c>
      <c r="M249">
        <v>9</v>
      </c>
      <c r="N249" t="s">
        <v>83</v>
      </c>
      <c r="O249">
        <v>186.98</v>
      </c>
    </row>
    <row r="250" spans="1:15" x14ac:dyDescent="0.5">
      <c r="A250" t="s">
        <v>477</v>
      </c>
      <c r="B250" t="s">
        <v>478</v>
      </c>
      <c r="C250" t="s">
        <v>63</v>
      </c>
      <c r="D250" t="s">
        <v>38</v>
      </c>
      <c r="E250" t="s">
        <v>25</v>
      </c>
      <c r="F250">
        <v>24</v>
      </c>
      <c r="G250">
        <v>3.9</v>
      </c>
      <c r="H250">
        <v>24</v>
      </c>
      <c r="I250">
        <v>1486</v>
      </c>
      <c r="J250">
        <v>100</v>
      </c>
      <c r="K250" t="s">
        <v>73</v>
      </c>
      <c r="L250" t="s">
        <v>28</v>
      </c>
      <c r="M250">
        <v>2</v>
      </c>
      <c r="N250" t="s">
        <v>43</v>
      </c>
      <c r="O250">
        <v>46.34</v>
      </c>
    </row>
    <row r="251" spans="1:15" x14ac:dyDescent="0.5">
      <c r="A251" t="s">
        <v>479</v>
      </c>
      <c r="B251" s="3">
        <v>45439</v>
      </c>
      <c r="C251" t="s">
        <v>414</v>
      </c>
      <c r="D251" t="s">
        <v>160</v>
      </c>
      <c r="E251" t="s">
        <v>50</v>
      </c>
      <c r="F251">
        <v>35</v>
      </c>
      <c r="G251">
        <v>2.4</v>
      </c>
      <c r="H251" t="s">
        <v>480</v>
      </c>
      <c r="I251">
        <v>865.36</v>
      </c>
      <c r="J251" s="2">
        <v>0.5</v>
      </c>
      <c r="K251" t="s">
        <v>41</v>
      </c>
      <c r="L251" t="s">
        <v>59</v>
      </c>
      <c r="M251">
        <v>1</v>
      </c>
      <c r="N251" t="s">
        <v>35</v>
      </c>
      <c r="O251">
        <v>146.91</v>
      </c>
    </row>
    <row r="252" spans="1:15" x14ac:dyDescent="0.5">
      <c r="A252" t="s">
        <v>481</v>
      </c>
      <c r="B252" s="3">
        <v>45386</v>
      </c>
      <c r="C252" t="s">
        <v>31</v>
      </c>
      <c r="D252" t="s">
        <v>54</v>
      </c>
      <c r="E252" t="s">
        <v>55</v>
      </c>
      <c r="F252">
        <v>26</v>
      </c>
      <c r="G252">
        <v>1.6</v>
      </c>
      <c r="H252">
        <v>67</v>
      </c>
      <c r="I252">
        <v>1635.83</v>
      </c>
      <c r="J252">
        <v>50</v>
      </c>
      <c r="K252" t="s">
        <v>103</v>
      </c>
      <c r="L252" t="s">
        <v>28</v>
      </c>
      <c r="M252">
        <v>2</v>
      </c>
      <c r="N252" t="s">
        <v>83</v>
      </c>
      <c r="O252">
        <v>137.63</v>
      </c>
    </row>
    <row r="253" spans="1:15" x14ac:dyDescent="0.5">
      <c r="A253" t="s">
        <v>482</v>
      </c>
      <c r="B253" s="1">
        <v>45418</v>
      </c>
      <c r="C253" t="s">
        <v>112</v>
      </c>
      <c r="D253" t="s">
        <v>58</v>
      </c>
      <c r="E253" t="s">
        <v>61</v>
      </c>
      <c r="F253">
        <v>50</v>
      </c>
      <c r="G253">
        <v>1.5</v>
      </c>
      <c r="H253">
        <v>64</v>
      </c>
      <c r="I253">
        <v>2440.65</v>
      </c>
      <c r="J253">
        <v>100</v>
      </c>
      <c r="K253" t="s">
        <v>68</v>
      </c>
      <c r="L253" t="s">
        <v>28</v>
      </c>
      <c r="M253">
        <v>2</v>
      </c>
      <c r="O253">
        <v>72.08</v>
      </c>
    </row>
    <row r="254" spans="1:15" x14ac:dyDescent="0.5">
      <c r="A254" t="s">
        <v>483</v>
      </c>
      <c r="B254" s="1">
        <v>45382</v>
      </c>
      <c r="C254" t="s">
        <v>37</v>
      </c>
      <c r="D254" t="s">
        <v>88</v>
      </c>
      <c r="E254" t="s">
        <v>39</v>
      </c>
      <c r="F254">
        <v>43</v>
      </c>
      <c r="G254">
        <v>2.1</v>
      </c>
      <c r="H254">
        <v>70</v>
      </c>
      <c r="I254" t="s">
        <v>484</v>
      </c>
      <c r="J254" s="2">
        <v>0.1</v>
      </c>
      <c r="K254" t="s">
        <v>68</v>
      </c>
      <c r="L254" t="s">
        <v>42</v>
      </c>
      <c r="M254">
        <v>10</v>
      </c>
      <c r="N254" t="s">
        <v>29</v>
      </c>
      <c r="O254">
        <v>-46.57</v>
      </c>
    </row>
    <row r="255" spans="1:15" x14ac:dyDescent="0.5">
      <c r="A255" t="s">
        <v>485</v>
      </c>
      <c r="B255" s="4">
        <v>45344.243055555555</v>
      </c>
      <c r="C255" t="s">
        <v>76</v>
      </c>
      <c r="D255" t="s">
        <v>49</v>
      </c>
      <c r="E255" t="s">
        <v>101</v>
      </c>
      <c r="F255">
        <v>28</v>
      </c>
      <c r="G255">
        <v>4.5999999999999996</v>
      </c>
      <c r="H255" t="s">
        <v>486</v>
      </c>
      <c r="I255">
        <v>1705.15</v>
      </c>
      <c r="K255" t="s">
        <v>73</v>
      </c>
      <c r="L255" t="s">
        <v>28</v>
      </c>
      <c r="M255">
        <v>8</v>
      </c>
      <c r="N255" t="s">
        <v>155</v>
      </c>
      <c r="O255">
        <v>-74.260000000000005</v>
      </c>
    </row>
    <row r="256" spans="1:15" x14ac:dyDescent="0.5">
      <c r="A256" t="s">
        <v>487</v>
      </c>
      <c r="B256" s="4">
        <v>45420.237500000003</v>
      </c>
      <c r="C256" t="s">
        <v>16</v>
      </c>
      <c r="D256" t="s">
        <v>38</v>
      </c>
      <c r="E256" t="s">
        <v>61</v>
      </c>
      <c r="F256">
        <v>51</v>
      </c>
      <c r="G256">
        <v>4.4000000000000004</v>
      </c>
      <c r="H256">
        <v>76</v>
      </c>
      <c r="I256">
        <v>388.37</v>
      </c>
      <c r="J256">
        <v>0</v>
      </c>
      <c r="K256" t="s">
        <v>68</v>
      </c>
      <c r="L256" t="s">
        <v>20</v>
      </c>
      <c r="M256">
        <v>2</v>
      </c>
      <c r="N256" t="s">
        <v>35</v>
      </c>
      <c r="O256">
        <v>-44.38</v>
      </c>
    </row>
    <row r="257" spans="1:15" x14ac:dyDescent="0.5">
      <c r="A257" t="s">
        <v>488</v>
      </c>
      <c r="B257" s="1">
        <v>45407</v>
      </c>
      <c r="C257" t="s">
        <v>112</v>
      </c>
      <c r="D257" t="s">
        <v>339</v>
      </c>
      <c r="E257" t="s">
        <v>18</v>
      </c>
      <c r="F257">
        <v>54</v>
      </c>
      <c r="G257">
        <v>4.2</v>
      </c>
      <c r="H257">
        <v>16</v>
      </c>
      <c r="I257">
        <v>1307.45</v>
      </c>
      <c r="J257">
        <v>50</v>
      </c>
      <c r="K257" t="s">
        <v>103</v>
      </c>
      <c r="L257" t="s">
        <v>59</v>
      </c>
      <c r="M257">
        <v>8</v>
      </c>
      <c r="N257" t="s">
        <v>21</v>
      </c>
      <c r="O257">
        <v>-39.270000000000003</v>
      </c>
    </row>
    <row r="258" spans="1:15" x14ac:dyDescent="0.5">
      <c r="B258" s="3">
        <v>45382</v>
      </c>
      <c r="C258" t="s">
        <v>46</v>
      </c>
      <c r="D258" t="s">
        <v>88</v>
      </c>
      <c r="E258" t="s">
        <v>25</v>
      </c>
      <c r="G258">
        <v>2</v>
      </c>
      <c r="H258">
        <v>64</v>
      </c>
      <c r="I258">
        <v>1125.7</v>
      </c>
      <c r="K258" t="s">
        <v>73</v>
      </c>
      <c r="L258" t="s">
        <v>28</v>
      </c>
      <c r="M258">
        <v>4</v>
      </c>
      <c r="N258" t="s">
        <v>83</v>
      </c>
      <c r="O258" t="s">
        <v>489</v>
      </c>
    </row>
    <row r="259" spans="1:15" x14ac:dyDescent="0.5">
      <c r="A259" t="s">
        <v>490</v>
      </c>
      <c r="B259" t="s">
        <v>491</v>
      </c>
      <c r="C259" t="s">
        <v>70</v>
      </c>
      <c r="D259" t="s">
        <v>38</v>
      </c>
      <c r="E259" t="s">
        <v>492</v>
      </c>
      <c r="F259">
        <v>23</v>
      </c>
      <c r="G259">
        <v>3.5</v>
      </c>
      <c r="H259">
        <v>46</v>
      </c>
      <c r="I259">
        <v>1501.17</v>
      </c>
      <c r="J259">
        <v>120</v>
      </c>
      <c r="K259" t="s">
        <v>73</v>
      </c>
      <c r="L259" t="s">
        <v>28</v>
      </c>
      <c r="M259">
        <v>1</v>
      </c>
      <c r="N259" t="s">
        <v>21</v>
      </c>
      <c r="O259">
        <v>134.46</v>
      </c>
    </row>
    <row r="260" spans="1:15" x14ac:dyDescent="0.5">
      <c r="A260" t="s">
        <v>493</v>
      </c>
      <c r="B260" s="3">
        <v>45415</v>
      </c>
      <c r="C260" t="s">
        <v>16</v>
      </c>
      <c r="D260" t="s">
        <v>58</v>
      </c>
      <c r="E260" t="s">
        <v>33</v>
      </c>
      <c r="F260">
        <v>37</v>
      </c>
      <c r="G260">
        <v>4.7</v>
      </c>
      <c r="H260">
        <v>40</v>
      </c>
      <c r="J260">
        <v>0</v>
      </c>
      <c r="K260" t="s">
        <v>103</v>
      </c>
      <c r="L260" t="s">
        <v>28</v>
      </c>
      <c r="M260">
        <v>7</v>
      </c>
      <c r="N260" t="s">
        <v>43</v>
      </c>
      <c r="O260">
        <v>197.77</v>
      </c>
    </row>
    <row r="261" spans="1:15" x14ac:dyDescent="0.5">
      <c r="A261" t="s">
        <v>494</v>
      </c>
      <c r="B261" s="1">
        <v>45460</v>
      </c>
      <c r="C261" t="s">
        <v>136</v>
      </c>
      <c r="D261" t="s">
        <v>49</v>
      </c>
      <c r="E261" t="s">
        <v>67</v>
      </c>
      <c r="F261">
        <v>60</v>
      </c>
      <c r="G261">
        <v>2.5</v>
      </c>
      <c r="H261">
        <v>74</v>
      </c>
      <c r="I261">
        <v>1112.21</v>
      </c>
      <c r="K261" t="s">
        <v>41</v>
      </c>
      <c r="L261" t="s">
        <v>28</v>
      </c>
      <c r="M261">
        <v>1</v>
      </c>
      <c r="N261" t="s">
        <v>83</v>
      </c>
      <c r="O261">
        <v>158.61000000000001</v>
      </c>
    </row>
    <row r="262" spans="1:15" x14ac:dyDescent="0.5">
      <c r="A262" t="s">
        <v>495</v>
      </c>
      <c r="B262" s="1">
        <v>45509</v>
      </c>
      <c r="C262" t="s">
        <v>31</v>
      </c>
      <c r="D262" t="s">
        <v>146</v>
      </c>
      <c r="E262" t="s">
        <v>101</v>
      </c>
      <c r="F262">
        <v>59</v>
      </c>
      <c r="G262">
        <v>4.9000000000000004</v>
      </c>
      <c r="H262">
        <v>38</v>
      </c>
      <c r="I262">
        <v>1490.97</v>
      </c>
      <c r="J262">
        <v>120</v>
      </c>
      <c r="K262" t="s">
        <v>73</v>
      </c>
      <c r="L262" t="s">
        <v>59</v>
      </c>
      <c r="M262">
        <v>1</v>
      </c>
      <c r="N262" t="s">
        <v>29</v>
      </c>
      <c r="O262">
        <v>-44.95</v>
      </c>
    </row>
    <row r="263" spans="1:15" x14ac:dyDescent="0.5">
      <c r="A263" t="s">
        <v>496</v>
      </c>
      <c r="B263" s="1">
        <v>45489</v>
      </c>
      <c r="C263" t="s">
        <v>136</v>
      </c>
      <c r="D263" t="s">
        <v>17</v>
      </c>
      <c r="E263" t="s">
        <v>97</v>
      </c>
      <c r="G263">
        <v>1.4</v>
      </c>
      <c r="H263">
        <v>32</v>
      </c>
      <c r="I263">
        <v>2473.5100000000002</v>
      </c>
      <c r="J263" s="2">
        <v>0.2</v>
      </c>
      <c r="K263" t="s">
        <v>41</v>
      </c>
      <c r="L263" t="s">
        <v>42</v>
      </c>
      <c r="M263">
        <v>2</v>
      </c>
      <c r="O263" t="s">
        <v>497</v>
      </c>
    </row>
    <row r="264" spans="1:15" x14ac:dyDescent="0.5">
      <c r="A264" t="s">
        <v>498</v>
      </c>
      <c r="B264" s="4">
        <v>45293.511111111111</v>
      </c>
      <c r="C264" t="s">
        <v>87</v>
      </c>
      <c r="D264" t="s">
        <v>88</v>
      </c>
      <c r="E264" t="s">
        <v>67</v>
      </c>
      <c r="F264">
        <v>22</v>
      </c>
      <c r="G264">
        <v>3.5</v>
      </c>
      <c r="H264">
        <v>25</v>
      </c>
      <c r="I264">
        <v>422.72</v>
      </c>
      <c r="J264" s="2">
        <v>0.5</v>
      </c>
      <c r="K264" t="s">
        <v>64</v>
      </c>
      <c r="L264" t="s">
        <v>59</v>
      </c>
      <c r="M264">
        <v>2</v>
      </c>
      <c r="N264" t="s">
        <v>35</v>
      </c>
      <c r="O264">
        <v>109.87</v>
      </c>
    </row>
    <row r="265" spans="1:15" x14ac:dyDescent="0.5">
      <c r="A265" t="s">
        <v>499</v>
      </c>
      <c r="B265" s="1">
        <v>45394</v>
      </c>
      <c r="C265" t="s">
        <v>31</v>
      </c>
      <c r="E265" t="s">
        <v>55</v>
      </c>
      <c r="F265">
        <v>53</v>
      </c>
      <c r="G265">
        <v>2.2999999999999998</v>
      </c>
      <c r="H265">
        <v>22</v>
      </c>
      <c r="I265" t="s">
        <v>500</v>
      </c>
      <c r="J265">
        <v>120</v>
      </c>
      <c r="K265" t="s">
        <v>27</v>
      </c>
      <c r="L265" t="s">
        <v>28</v>
      </c>
      <c r="M265">
        <v>2</v>
      </c>
      <c r="N265" t="s">
        <v>51</v>
      </c>
      <c r="O265">
        <v>158.69999999999999</v>
      </c>
    </row>
    <row r="266" spans="1:15" x14ac:dyDescent="0.5">
      <c r="A266" t="s">
        <v>501</v>
      </c>
      <c r="B266" t="s">
        <v>502</v>
      </c>
      <c r="E266" t="s">
        <v>25</v>
      </c>
      <c r="F266">
        <v>53</v>
      </c>
      <c r="G266">
        <v>2.5</v>
      </c>
      <c r="H266">
        <v>31</v>
      </c>
      <c r="I266">
        <v>1142.73</v>
      </c>
      <c r="J266" s="2">
        <v>0.5</v>
      </c>
      <c r="K266" t="s">
        <v>19</v>
      </c>
      <c r="L266" t="s">
        <v>42</v>
      </c>
      <c r="M266">
        <v>2</v>
      </c>
      <c r="O266">
        <v>56.31</v>
      </c>
    </row>
    <row r="267" spans="1:15" x14ac:dyDescent="0.5">
      <c r="A267" t="s">
        <v>503</v>
      </c>
      <c r="B267" s="3">
        <v>45303</v>
      </c>
      <c r="C267" t="s">
        <v>281</v>
      </c>
      <c r="D267" t="s">
        <v>49</v>
      </c>
      <c r="E267" t="s">
        <v>25</v>
      </c>
      <c r="F267">
        <v>60</v>
      </c>
      <c r="G267">
        <v>2</v>
      </c>
      <c r="H267">
        <v>78</v>
      </c>
      <c r="I267">
        <v>1798.51</v>
      </c>
      <c r="J267">
        <v>50</v>
      </c>
      <c r="K267" t="s">
        <v>41</v>
      </c>
      <c r="L267" t="s">
        <v>59</v>
      </c>
      <c r="M267">
        <v>6</v>
      </c>
      <c r="N267" t="s">
        <v>29</v>
      </c>
      <c r="O267">
        <v>34.39</v>
      </c>
    </row>
    <row r="268" spans="1:15" x14ac:dyDescent="0.5">
      <c r="A268" t="s">
        <v>504</v>
      </c>
      <c r="B268" s="3">
        <v>45312</v>
      </c>
      <c r="C268" t="s">
        <v>37</v>
      </c>
      <c r="E268" t="s">
        <v>25</v>
      </c>
      <c r="F268">
        <v>49</v>
      </c>
      <c r="G268">
        <v>2.1</v>
      </c>
      <c r="H268">
        <v>53</v>
      </c>
      <c r="I268" t="s">
        <v>505</v>
      </c>
      <c r="J268" s="2">
        <v>0.6</v>
      </c>
      <c r="K268" t="s">
        <v>41</v>
      </c>
      <c r="L268" t="s">
        <v>28</v>
      </c>
      <c r="M268">
        <v>9</v>
      </c>
      <c r="N268" t="s">
        <v>470</v>
      </c>
      <c r="O268">
        <v>171.79</v>
      </c>
    </row>
    <row r="269" spans="1:15" x14ac:dyDescent="0.5">
      <c r="A269" t="s">
        <v>506</v>
      </c>
      <c r="B269" s="3">
        <v>45378</v>
      </c>
      <c r="C269" t="s">
        <v>468</v>
      </c>
      <c r="D269" t="s">
        <v>146</v>
      </c>
      <c r="E269" t="s">
        <v>39</v>
      </c>
      <c r="F269">
        <v>36</v>
      </c>
      <c r="G269">
        <v>4.8</v>
      </c>
      <c r="H269">
        <v>48</v>
      </c>
      <c r="I269">
        <v>506.87</v>
      </c>
      <c r="J269">
        <v>50</v>
      </c>
      <c r="K269" t="s">
        <v>68</v>
      </c>
      <c r="L269" t="s">
        <v>59</v>
      </c>
      <c r="M269">
        <v>6</v>
      </c>
      <c r="N269" t="s">
        <v>51</v>
      </c>
      <c r="O269">
        <v>39.36</v>
      </c>
    </row>
    <row r="270" spans="1:15" x14ac:dyDescent="0.5">
      <c r="A270" t="s">
        <v>507</v>
      </c>
      <c r="B270" s="1">
        <v>45447</v>
      </c>
      <c r="C270" t="s">
        <v>122</v>
      </c>
      <c r="D270" t="s">
        <v>17</v>
      </c>
      <c r="E270" t="s">
        <v>67</v>
      </c>
      <c r="F270">
        <v>23</v>
      </c>
      <c r="G270">
        <v>3.4</v>
      </c>
      <c r="H270">
        <v>23</v>
      </c>
      <c r="I270">
        <v>1168.25</v>
      </c>
      <c r="J270">
        <v>75</v>
      </c>
      <c r="K270" t="s">
        <v>41</v>
      </c>
      <c r="L270" t="s">
        <v>28</v>
      </c>
      <c r="M270">
        <v>3</v>
      </c>
      <c r="N270" t="s">
        <v>29</v>
      </c>
      <c r="O270">
        <v>24.72</v>
      </c>
    </row>
    <row r="271" spans="1:15" x14ac:dyDescent="0.5">
      <c r="A271" t="s">
        <v>508</v>
      </c>
      <c r="C271" t="s">
        <v>167</v>
      </c>
      <c r="D271" t="s">
        <v>93</v>
      </c>
      <c r="E271" t="s">
        <v>25</v>
      </c>
      <c r="F271">
        <v>22</v>
      </c>
      <c r="G271">
        <v>4.5</v>
      </c>
      <c r="H271" t="s">
        <v>509</v>
      </c>
      <c r="I271">
        <v>1564.58</v>
      </c>
      <c r="J271">
        <v>150</v>
      </c>
      <c r="K271" t="s">
        <v>73</v>
      </c>
      <c r="L271" t="s">
        <v>42</v>
      </c>
      <c r="M271">
        <v>10</v>
      </c>
      <c r="N271" t="s">
        <v>21</v>
      </c>
      <c r="O271">
        <v>23.32</v>
      </c>
    </row>
    <row r="272" spans="1:15" x14ac:dyDescent="0.5">
      <c r="A272" t="s">
        <v>510</v>
      </c>
      <c r="B272" s="3">
        <v>45474</v>
      </c>
      <c r="C272" t="s">
        <v>149</v>
      </c>
      <c r="D272" t="s">
        <v>71</v>
      </c>
      <c r="E272" t="s">
        <v>25</v>
      </c>
      <c r="F272">
        <v>52</v>
      </c>
      <c r="G272">
        <v>4.4000000000000004</v>
      </c>
      <c r="H272">
        <v>21</v>
      </c>
      <c r="I272">
        <v>1564.9</v>
      </c>
      <c r="J272">
        <v>75</v>
      </c>
      <c r="K272" t="s">
        <v>73</v>
      </c>
      <c r="L272" t="s">
        <v>59</v>
      </c>
      <c r="M272">
        <v>8</v>
      </c>
      <c r="N272" t="s">
        <v>83</v>
      </c>
      <c r="O272">
        <v>-0.45</v>
      </c>
    </row>
    <row r="273" spans="1:15" x14ac:dyDescent="0.5">
      <c r="A273" t="s">
        <v>511</v>
      </c>
      <c r="B273" t="s">
        <v>512</v>
      </c>
      <c r="C273" t="s">
        <v>76</v>
      </c>
      <c r="D273" t="s">
        <v>146</v>
      </c>
      <c r="E273" t="s">
        <v>25</v>
      </c>
      <c r="F273">
        <v>34</v>
      </c>
      <c r="G273">
        <v>2.4</v>
      </c>
      <c r="H273" t="s">
        <v>324</v>
      </c>
      <c r="I273">
        <v>1122.03</v>
      </c>
      <c r="J273">
        <v>150</v>
      </c>
      <c r="K273" t="s">
        <v>64</v>
      </c>
      <c r="L273" t="s">
        <v>28</v>
      </c>
      <c r="M273">
        <v>8</v>
      </c>
      <c r="N273" t="s">
        <v>29</v>
      </c>
    </row>
    <row r="274" spans="1:15" x14ac:dyDescent="0.5">
      <c r="A274" t="s">
        <v>513</v>
      </c>
      <c r="B274" s="3">
        <v>45423</v>
      </c>
      <c r="C274" t="s">
        <v>70</v>
      </c>
      <c r="D274" t="s">
        <v>93</v>
      </c>
      <c r="E274" t="s">
        <v>387</v>
      </c>
      <c r="F274">
        <v>40</v>
      </c>
      <c r="G274">
        <v>4.5999999999999996</v>
      </c>
      <c r="H274">
        <v>70</v>
      </c>
      <c r="I274">
        <v>808.51</v>
      </c>
      <c r="J274" s="2">
        <v>0.15</v>
      </c>
      <c r="K274" t="s">
        <v>27</v>
      </c>
      <c r="L274" t="s">
        <v>94</v>
      </c>
      <c r="M274">
        <v>8</v>
      </c>
      <c r="N274" t="s">
        <v>43</v>
      </c>
      <c r="O274">
        <v>158.44</v>
      </c>
    </row>
    <row r="275" spans="1:15" x14ac:dyDescent="0.5">
      <c r="A275" t="s">
        <v>514</v>
      </c>
      <c r="B275" s="1">
        <v>45418</v>
      </c>
      <c r="C275" t="s">
        <v>37</v>
      </c>
      <c r="D275" t="s">
        <v>38</v>
      </c>
      <c r="E275" t="s">
        <v>39</v>
      </c>
      <c r="F275">
        <v>51</v>
      </c>
      <c r="G275">
        <v>4.5</v>
      </c>
      <c r="H275">
        <v>59</v>
      </c>
      <c r="I275" t="s">
        <v>515</v>
      </c>
      <c r="J275" s="2">
        <v>0.5</v>
      </c>
      <c r="K275" t="s">
        <v>68</v>
      </c>
      <c r="L275" t="s">
        <v>28</v>
      </c>
      <c r="M275">
        <v>3</v>
      </c>
      <c r="N275" t="s">
        <v>21</v>
      </c>
    </row>
    <row r="276" spans="1:15" x14ac:dyDescent="0.5">
      <c r="A276" t="s">
        <v>516</v>
      </c>
      <c r="B276" s="4">
        <v>45430.76458333333</v>
      </c>
      <c r="C276" t="s">
        <v>46</v>
      </c>
      <c r="D276" t="s">
        <v>146</v>
      </c>
      <c r="E276" t="s">
        <v>67</v>
      </c>
      <c r="F276">
        <v>46</v>
      </c>
      <c r="G276">
        <v>3</v>
      </c>
      <c r="H276" t="s">
        <v>517</v>
      </c>
      <c r="I276">
        <v>2483.52</v>
      </c>
      <c r="J276" s="2">
        <v>0.2</v>
      </c>
      <c r="K276" t="s">
        <v>19</v>
      </c>
      <c r="L276" t="s">
        <v>42</v>
      </c>
      <c r="M276">
        <v>9</v>
      </c>
      <c r="N276" t="s">
        <v>29</v>
      </c>
      <c r="O276">
        <v>23.89</v>
      </c>
    </row>
    <row r="277" spans="1:15" x14ac:dyDescent="0.5">
      <c r="A277" t="s">
        <v>518</v>
      </c>
      <c r="B277" s="1">
        <v>45425</v>
      </c>
      <c r="C277" t="s">
        <v>283</v>
      </c>
      <c r="D277" t="s">
        <v>17</v>
      </c>
      <c r="E277" t="s">
        <v>25</v>
      </c>
      <c r="F277">
        <v>64</v>
      </c>
      <c r="G277">
        <v>1.5</v>
      </c>
      <c r="H277">
        <v>26</v>
      </c>
      <c r="I277">
        <v>2382.98</v>
      </c>
      <c r="J277">
        <v>0</v>
      </c>
      <c r="K277" t="s">
        <v>41</v>
      </c>
      <c r="L277" t="s">
        <v>42</v>
      </c>
      <c r="M277">
        <v>10</v>
      </c>
      <c r="N277" t="s">
        <v>35</v>
      </c>
      <c r="O277">
        <v>136.79</v>
      </c>
    </row>
    <row r="278" spans="1:15" x14ac:dyDescent="0.5">
      <c r="A278" t="s">
        <v>519</v>
      </c>
      <c r="B278" t="s">
        <v>520</v>
      </c>
      <c r="C278" t="s">
        <v>112</v>
      </c>
      <c r="D278" t="s">
        <v>93</v>
      </c>
      <c r="E278" t="s">
        <v>55</v>
      </c>
      <c r="F278">
        <v>47</v>
      </c>
      <c r="G278">
        <v>3.6</v>
      </c>
      <c r="H278">
        <v>65</v>
      </c>
      <c r="I278">
        <v>1797.47</v>
      </c>
      <c r="J278">
        <v>100</v>
      </c>
      <c r="K278" t="s">
        <v>103</v>
      </c>
      <c r="L278" t="s">
        <v>28</v>
      </c>
      <c r="M278">
        <v>9</v>
      </c>
      <c r="N278" t="s">
        <v>83</v>
      </c>
      <c r="O278">
        <v>49.15</v>
      </c>
    </row>
    <row r="279" spans="1:15" x14ac:dyDescent="0.5">
      <c r="A279" t="s">
        <v>521</v>
      </c>
      <c r="B279" s="4">
        <v>45360.69027777778</v>
      </c>
      <c r="C279" t="s">
        <v>167</v>
      </c>
      <c r="D279" t="s">
        <v>58</v>
      </c>
      <c r="E279" t="s">
        <v>97</v>
      </c>
      <c r="F279">
        <v>19</v>
      </c>
      <c r="G279">
        <v>1.1000000000000001</v>
      </c>
      <c r="H279">
        <v>57</v>
      </c>
      <c r="I279">
        <v>2291.1</v>
      </c>
      <c r="J279">
        <v>150</v>
      </c>
      <c r="K279" t="s">
        <v>19</v>
      </c>
      <c r="L279" t="s">
        <v>42</v>
      </c>
      <c r="M279">
        <v>5</v>
      </c>
      <c r="N279" t="s">
        <v>35</v>
      </c>
      <c r="O279">
        <v>-8.85</v>
      </c>
    </row>
    <row r="280" spans="1:15" x14ac:dyDescent="0.5">
      <c r="A280" t="s">
        <v>314</v>
      </c>
      <c r="B280" s="1">
        <v>45485</v>
      </c>
      <c r="C280" t="s">
        <v>153</v>
      </c>
      <c r="D280" t="s">
        <v>17</v>
      </c>
      <c r="E280" t="s">
        <v>101</v>
      </c>
      <c r="F280">
        <v>65</v>
      </c>
      <c r="G280">
        <v>4.4000000000000004</v>
      </c>
      <c r="H280" t="s">
        <v>522</v>
      </c>
      <c r="I280">
        <v>1838.63</v>
      </c>
      <c r="J280">
        <v>0</v>
      </c>
      <c r="K280" t="s">
        <v>27</v>
      </c>
      <c r="L280" t="s">
        <v>28</v>
      </c>
      <c r="M280">
        <v>5</v>
      </c>
      <c r="N280" t="s">
        <v>83</v>
      </c>
      <c r="O280">
        <v>19.71</v>
      </c>
    </row>
    <row r="281" spans="1:15" x14ac:dyDescent="0.5">
      <c r="A281" t="s">
        <v>523</v>
      </c>
      <c r="B281" t="s">
        <v>524</v>
      </c>
      <c r="C281" t="s">
        <v>70</v>
      </c>
      <c r="D281" t="s">
        <v>88</v>
      </c>
      <c r="E281" t="s">
        <v>55</v>
      </c>
      <c r="F281">
        <v>54</v>
      </c>
      <c r="G281">
        <v>2.6</v>
      </c>
      <c r="H281" t="s">
        <v>182</v>
      </c>
      <c r="I281" t="s">
        <v>525</v>
      </c>
      <c r="J281" s="2">
        <v>0.15</v>
      </c>
      <c r="K281" t="s">
        <v>27</v>
      </c>
      <c r="L281" t="s">
        <v>28</v>
      </c>
      <c r="M281">
        <v>8</v>
      </c>
      <c r="N281" t="s">
        <v>51</v>
      </c>
      <c r="O281">
        <v>-3.3</v>
      </c>
    </row>
    <row r="282" spans="1:15" x14ac:dyDescent="0.5">
      <c r="A282" t="s">
        <v>526</v>
      </c>
      <c r="C282" t="s">
        <v>407</v>
      </c>
      <c r="D282" t="s">
        <v>58</v>
      </c>
      <c r="E282" t="s">
        <v>61</v>
      </c>
      <c r="F282">
        <v>53</v>
      </c>
      <c r="G282">
        <v>5</v>
      </c>
      <c r="H282" t="s">
        <v>47</v>
      </c>
      <c r="I282" t="s">
        <v>527</v>
      </c>
      <c r="J282" s="2">
        <v>0.1</v>
      </c>
      <c r="K282" t="s">
        <v>68</v>
      </c>
      <c r="L282" t="s">
        <v>28</v>
      </c>
      <c r="M282">
        <v>9</v>
      </c>
      <c r="N282" t="s">
        <v>43</v>
      </c>
    </row>
    <row r="283" spans="1:15" x14ac:dyDescent="0.5">
      <c r="A283" t="s">
        <v>528</v>
      </c>
      <c r="B283" s="1">
        <v>45476</v>
      </c>
      <c r="C283" t="s">
        <v>76</v>
      </c>
      <c r="D283" t="s">
        <v>88</v>
      </c>
      <c r="E283" t="s">
        <v>61</v>
      </c>
      <c r="F283">
        <v>65</v>
      </c>
      <c r="G283">
        <v>4.4000000000000004</v>
      </c>
      <c r="H283" t="s">
        <v>128</v>
      </c>
      <c r="I283">
        <v>1821.89</v>
      </c>
      <c r="J283" s="2">
        <v>0.15</v>
      </c>
      <c r="K283" t="s">
        <v>64</v>
      </c>
      <c r="L283" t="s">
        <v>42</v>
      </c>
      <c r="M283">
        <v>2</v>
      </c>
      <c r="N283" t="s">
        <v>21</v>
      </c>
      <c r="O283">
        <v>-57.97</v>
      </c>
    </row>
    <row r="284" spans="1:15" x14ac:dyDescent="0.5">
      <c r="A284" t="s">
        <v>529</v>
      </c>
      <c r="B284" s="1">
        <v>45295</v>
      </c>
      <c r="C284" t="s">
        <v>70</v>
      </c>
      <c r="D284" t="s">
        <v>54</v>
      </c>
      <c r="E284" t="s">
        <v>78</v>
      </c>
      <c r="F284">
        <v>24</v>
      </c>
      <c r="G284">
        <v>3.1</v>
      </c>
      <c r="H284">
        <v>64</v>
      </c>
      <c r="I284">
        <v>905.78</v>
      </c>
      <c r="J284">
        <v>75</v>
      </c>
      <c r="K284" t="s">
        <v>27</v>
      </c>
      <c r="M284">
        <v>4</v>
      </c>
      <c r="N284" t="s">
        <v>21</v>
      </c>
      <c r="O284">
        <v>-32.700000000000003</v>
      </c>
    </row>
    <row r="285" spans="1:15" x14ac:dyDescent="0.5">
      <c r="B285" s="1">
        <v>45311</v>
      </c>
      <c r="C285" t="s">
        <v>81</v>
      </c>
      <c r="D285" t="s">
        <v>58</v>
      </c>
      <c r="E285" t="s">
        <v>67</v>
      </c>
      <c r="F285">
        <v>56</v>
      </c>
      <c r="G285">
        <v>4.8</v>
      </c>
      <c r="H285">
        <v>50</v>
      </c>
      <c r="I285">
        <v>1813.01</v>
      </c>
      <c r="J285">
        <v>100</v>
      </c>
      <c r="K285" t="s">
        <v>27</v>
      </c>
      <c r="L285" t="s">
        <v>28</v>
      </c>
      <c r="M285">
        <v>8</v>
      </c>
      <c r="N285" t="s">
        <v>29</v>
      </c>
      <c r="O285">
        <v>123.6</v>
      </c>
    </row>
    <row r="286" spans="1:15" x14ac:dyDescent="0.5">
      <c r="A286" t="s">
        <v>530</v>
      </c>
      <c r="B286" s="3">
        <v>45387</v>
      </c>
      <c r="C286" t="s">
        <v>46</v>
      </c>
      <c r="D286" t="s">
        <v>38</v>
      </c>
      <c r="E286" t="s">
        <v>531</v>
      </c>
      <c r="F286">
        <v>43</v>
      </c>
      <c r="H286">
        <v>47</v>
      </c>
      <c r="I286" t="s">
        <v>532</v>
      </c>
      <c r="J286">
        <v>0</v>
      </c>
      <c r="K286" t="s">
        <v>27</v>
      </c>
      <c r="L286" t="s">
        <v>28</v>
      </c>
      <c r="M286">
        <v>9</v>
      </c>
      <c r="O286">
        <v>-70.48</v>
      </c>
    </row>
    <row r="287" spans="1:15" x14ac:dyDescent="0.5">
      <c r="A287" t="s">
        <v>533</v>
      </c>
      <c r="B287" s="1">
        <v>45353</v>
      </c>
      <c r="C287" t="s">
        <v>16</v>
      </c>
      <c r="D287" t="s">
        <v>88</v>
      </c>
      <c r="E287" t="s">
        <v>39</v>
      </c>
      <c r="F287">
        <v>28</v>
      </c>
      <c r="G287">
        <v>3.3</v>
      </c>
      <c r="H287">
        <v>16</v>
      </c>
      <c r="I287">
        <v>2358.5</v>
      </c>
      <c r="J287">
        <v>150</v>
      </c>
      <c r="K287" t="s">
        <v>19</v>
      </c>
      <c r="L287" t="s">
        <v>59</v>
      </c>
      <c r="M287">
        <v>4</v>
      </c>
      <c r="N287" t="s">
        <v>29</v>
      </c>
      <c r="O287">
        <v>166.45</v>
      </c>
    </row>
    <row r="288" spans="1:15" x14ac:dyDescent="0.5">
      <c r="B288" s="1">
        <v>45599</v>
      </c>
      <c r="C288" t="s">
        <v>76</v>
      </c>
      <c r="D288" t="s">
        <v>93</v>
      </c>
      <c r="E288" t="s">
        <v>144</v>
      </c>
      <c r="F288">
        <v>18</v>
      </c>
      <c r="G288">
        <v>2.5</v>
      </c>
      <c r="H288" t="s">
        <v>269</v>
      </c>
      <c r="I288">
        <v>2364.9</v>
      </c>
      <c r="J288">
        <v>50</v>
      </c>
      <c r="K288" t="s">
        <v>27</v>
      </c>
      <c r="L288" t="s">
        <v>59</v>
      </c>
      <c r="M288">
        <v>4</v>
      </c>
      <c r="N288" t="s">
        <v>35</v>
      </c>
      <c r="O288">
        <v>243.16</v>
      </c>
    </row>
    <row r="289" spans="1:15" x14ac:dyDescent="0.5">
      <c r="A289" t="s">
        <v>534</v>
      </c>
      <c r="B289" t="s">
        <v>512</v>
      </c>
      <c r="C289" t="s">
        <v>112</v>
      </c>
      <c r="D289" t="s">
        <v>146</v>
      </c>
      <c r="E289" t="s">
        <v>55</v>
      </c>
      <c r="F289">
        <v>62</v>
      </c>
      <c r="G289">
        <v>3.2</v>
      </c>
      <c r="H289">
        <v>49</v>
      </c>
      <c r="I289">
        <v>336</v>
      </c>
      <c r="J289" s="2">
        <v>0.5</v>
      </c>
      <c r="L289" t="s">
        <v>28</v>
      </c>
      <c r="M289">
        <v>8</v>
      </c>
      <c r="N289" t="s">
        <v>51</v>
      </c>
      <c r="O289">
        <v>137.24</v>
      </c>
    </row>
    <row r="290" spans="1:15" x14ac:dyDescent="0.5">
      <c r="A290" t="s">
        <v>535</v>
      </c>
      <c r="B290" s="1">
        <v>45383</v>
      </c>
      <c r="C290" t="s">
        <v>81</v>
      </c>
      <c r="D290" t="s">
        <v>54</v>
      </c>
      <c r="E290" t="s">
        <v>67</v>
      </c>
      <c r="F290">
        <v>43</v>
      </c>
      <c r="G290">
        <v>2</v>
      </c>
      <c r="H290">
        <v>58</v>
      </c>
      <c r="I290">
        <v>1268.49</v>
      </c>
      <c r="K290" t="s">
        <v>68</v>
      </c>
      <c r="L290" t="s">
        <v>28</v>
      </c>
      <c r="M290">
        <v>10</v>
      </c>
      <c r="N290" t="s">
        <v>21</v>
      </c>
      <c r="O290">
        <v>19.190000000000001</v>
      </c>
    </row>
    <row r="291" spans="1:15" x14ac:dyDescent="0.5">
      <c r="A291" t="s">
        <v>536</v>
      </c>
      <c r="B291" s="1">
        <v>45437</v>
      </c>
      <c r="C291" t="s">
        <v>167</v>
      </c>
      <c r="D291" t="s">
        <v>49</v>
      </c>
      <c r="E291" t="s">
        <v>39</v>
      </c>
      <c r="F291">
        <v>29</v>
      </c>
      <c r="G291">
        <v>1.8</v>
      </c>
      <c r="H291" t="s">
        <v>82</v>
      </c>
      <c r="I291">
        <v>486.85</v>
      </c>
      <c r="J291">
        <v>0</v>
      </c>
      <c r="K291" t="s">
        <v>41</v>
      </c>
      <c r="L291" t="s">
        <v>28</v>
      </c>
      <c r="M291">
        <v>8</v>
      </c>
      <c r="N291" t="s">
        <v>29</v>
      </c>
      <c r="O291">
        <v>47.9</v>
      </c>
    </row>
    <row r="292" spans="1:15" x14ac:dyDescent="0.5">
      <c r="A292" t="s">
        <v>537</v>
      </c>
      <c r="B292" s="3">
        <v>45375</v>
      </c>
      <c r="C292" t="s">
        <v>31</v>
      </c>
      <c r="E292" t="s">
        <v>78</v>
      </c>
      <c r="F292">
        <v>18</v>
      </c>
      <c r="G292">
        <v>4</v>
      </c>
      <c r="H292">
        <v>44</v>
      </c>
      <c r="I292">
        <v>448.63</v>
      </c>
      <c r="J292" s="2">
        <v>0.5</v>
      </c>
      <c r="K292" t="s">
        <v>19</v>
      </c>
      <c r="L292" t="s">
        <v>59</v>
      </c>
      <c r="M292">
        <v>5</v>
      </c>
      <c r="N292" t="s">
        <v>43</v>
      </c>
      <c r="O292">
        <v>90.73</v>
      </c>
    </row>
    <row r="293" spans="1:15" x14ac:dyDescent="0.5">
      <c r="A293" t="s">
        <v>538</v>
      </c>
      <c r="B293" s="4">
        <v>45479.143750000003</v>
      </c>
      <c r="C293" t="s">
        <v>153</v>
      </c>
      <c r="D293" t="s">
        <v>146</v>
      </c>
      <c r="E293" t="s">
        <v>539</v>
      </c>
      <c r="F293">
        <v>58</v>
      </c>
      <c r="G293">
        <v>4.2</v>
      </c>
      <c r="H293">
        <v>79</v>
      </c>
      <c r="I293">
        <v>1007.32</v>
      </c>
      <c r="J293" s="2">
        <v>0.6</v>
      </c>
      <c r="K293" t="s">
        <v>73</v>
      </c>
      <c r="L293" t="s">
        <v>28</v>
      </c>
      <c r="N293" t="s">
        <v>29</v>
      </c>
      <c r="O293">
        <v>188.24</v>
      </c>
    </row>
    <row r="294" spans="1:15" x14ac:dyDescent="0.5">
      <c r="A294" t="s">
        <v>540</v>
      </c>
      <c r="B294" s="1">
        <v>45364</v>
      </c>
      <c r="C294" t="s">
        <v>463</v>
      </c>
      <c r="D294" t="s">
        <v>38</v>
      </c>
      <c r="E294" t="s">
        <v>39</v>
      </c>
      <c r="G294">
        <v>3.5</v>
      </c>
      <c r="H294">
        <v>60</v>
      </c>
      <c r="I294">
        <v>1861.93</v>
      </c>
      <c r="J294" s="2">
        <v>0.15</v>
      </c>
      <c r="K294" t="s">
        <v>19</v>
      </c>
      <c r="L294" t="s">
        <v>28</v>
      </c>
      <c r="M294">
        <v>10</v>
      </c>
      <c r="N294" t="s">
        <v>35</v>
      </c>
      <c r="O294">
        <v>227.65</v>
      </c>
    </row>
    <row r="295" spans="1:15" x14ac:dyDescent="0.5">
      <c r="A295" t="s">
        <v>541</v>
      </c>
      <c r="C295" t="s">
        <v>122</v>
      </c>
      <c r="D295" t="s">
        <v>93</v>
      </c>
      <c r="F295">
        <v>34</v>
      </c>
      <c r="G295">
        <v>4</v>
      </c>
      <c r="H295" t="s">
        <v>371</v>
      </c>
      <c r="I295" t="s">
        <v>542</v>
      </c>
      <c r="J295" s="2">
        <v>0.2</v>
      </c>
      <c r="K295" t="s">
        <v>73</v>
      </c>
      <c r="L295" t="s">
        <v>28</v>
      </c>
      <c r="M295">
        <v>7</v>
      </c>
      <c r="N295" t="s">
        <v>83</v>
      </c>
      <c r="O295">
        <v>11.36</v>
      </c>
    </row>
    <row r="296" spans="1:15" x14ac:dyDescent="0.5">
      <c r="A296" t="s">
        <v>543</v>
      </c>
      <c r="B296" s="1">
        <v>45465</v>
      </c>
      <c r="C296" t="s">
        <v>70</v>
      </c>
      <c r="D296" t="s">
        <v>24</v>
      </c>
      <c r="E296" t="s">
        <v>25</v>
      </c>
      <c r="F296">
        <v>64</v>
      </c>
      <c r="G296">
        <v>4.3</v>
      </c>
      <c r="H296">
        <v>57</v>
      </c>
      <c r="I296">
        <v>1408.67</v>
      </c>
      <c r="J296">
        <v>75</v>
      </c>
      <c r="K296" t="s">
        <v>73</v>
      </c>
      <c r="L296" t="s">
        <v>28</v>
      </c>
      <c r="M296">
        <v>5</v>
      </c>
      <c r="O296">
        <v>201.26</v>
      </c>
    </row>
    <row r="297" spans="1:15" x14ac:dyDescent="0.5">
      <c r="A297" t="s">
        <v>544</v>
      </c>
      <c r="B297" s="1">
        <v>45380</v>
      </c>
      <c r="C297" t="s">
        <v>37</v>
      </c>
      <c r="D297" t="s">
        <v>17</v>
      </c>
      <c r="E297" t="s">
        <v>387</v>
      </c>
      <c r="F297">
        <v>53</v>
      </c>
      <c r="G297">
        <v>5</v>
      </c>
      <c r="H297">
        <v>31</v>
      </c>
      <c r="I297">
        <v>1020.66</v>
      </c>
      <c r="J297" s="2">
        <v>0.5</v>
      </c>
      <c r="K297" t="s">
        <v>68</v>
      </c>
      <c r="L297" t="s">
        <v>42</v>
      </c>
      <c r="M297">
        <v>9</v>
      </c>
      <c r="N297" t="s">
        <v>43</v>
      </c>
      <c r="O297">
        <v>217.15</v>
      </c>
    </row>
    <row r="298" spans="1:15" x14ac:dyDescent="0.5">
      <c r="A298" t="s">
        <v>545</v>
      </c>
      <c r="B298" s="4">
        <v>45462.9</v>
      </c>
      <c r="C298" t="s">
        <v>76</v>
      </c>
      <c r="D298" t="s">
        <v>24</v>
      </c>
      <c r="E298" t="s">
        <v>546</v>
      </c>
      <c r="F298">
        <v>59</v>
      </c>
      <c r="G298">
        <v>4.5999999999999996</v>
      </c>
      <c r="H298">
        <v>68</v>
      </c>
      <c r="I298">
        <v>2438.71</v>
      </c>
      <c r="J298">
        <v>120</v>
      </c>
      <c r="K298" t="s">
        <v>68</v>
      </c>
      <c r="L298" t="s">
        <v>28</v>
      </c>
      <c r="N298" t="s">
        <v>51</v>
      </c>
      <c r="O298" t="s">
        <v>547</v>
      </c>
    </row>
    <row r="299" spans="1:15" x14ac:dyDescent="0.5">
      <c r="A299" t="s">
        <v>548</v>
      </c>
      <c r="B299" t="s">
        <v>142</v>
      </c>
      <c r="C299" t="s">
        <v>66</v>
      </c>
      <c r="D299" t="s">
        <v>49</v>
      </c>
      <c r="E299" t="s">
        <v>33</v>
      </c>
      <c r="F299">
        <v>33</v>
      </c>
      <c r="G299">
        <v>2.8</v>
      </c>
      <c r="H299" t="s">
        <v>464</v>
      </c>
      <c r="I299">
        <v>2435.2800000000002</v>
      </c>
      <c r="J299" s="2">
        <v>0.6</v>
      </c>
      <c r="K299" t="s">
        <v>73</v>
      </c>
      <c r="N299" t="s">
        <v>29</v>
      </c>
      <c r="O299">
        <v>75.17</v>
      </c>
    </row>
    <row r="300" spans="1:15" x14ac:dyDescent="0.5">
      <c r="A300" t="s">
        <v>549</v>
      </c>
      <c r="B300" s="1">
        <v>45475</v>
      </c>
      <c r="C300" t="s">
        <v>164</v>
      </c>
      <c r="D300" t="s">
        <v>236</v>
      </c>
      <c r="E300" t="s">
        <v>492</v>
      </c>
      <c r="F300">
        <v>50</v>
      </c>
      <c r="G300">
        <v>2.8</v>
      </c>
      <c r="H300">
        <v>28</v>
      </c>
      <c r="I300">
        <v>467.44</v>
      </c>
      <c r="J300">
        <v>0</v>
      </c>
      <c r="K300" t="s">
        <v>27</v>
      </c>
      <c r="L300" t="s">
        <v>42</v>
      </c>
      <c r="M300">
        <v>2</v>
      </c>
      <c r="N300" t="s">
        <v>43</v>
      </c>
      <c r="O300">
        <v>0.76</v>
      </c>
    </row>
    <row r="301" spans="1:15" x14ac:dyDescent="0.5">
      <c r="A301" t="s">
        <v>550</v>
      </c>
      <c r="B301" t="s">
        <v>551</v>
      </c>
      <c r="D301" t="s">
        <v>49</v>
      </c>
      <c r="E301" t="s">
        <v>61</v>
      </c>
      <c r="F301">
        <v>54</v>
      </c>
      <c r="G301">
        <v>2.9</v>
      </c>
      <c r="H301">
        <v>52</v>
      </c>
      <c r="I301">
        <v>487.57</v>
      </c>
      <c r="J301" s="2">
        <v>0.6</v>
      </c>
      <c r="K301" t="s">
        <v>73</v>
      </c>
      <c r="L301" t="s">
        <v>42</v>
      </c>
      <c r="N301" t="s">
        <v>83</v>
      </c>
      <c r="O301">
        <v>248.72</v>
      </c>
    </row>
    <row r="302" spans="1:15" x14ac:dyDescent="0.5">
      <c r="A302" t="s">
        <v>552</v>
      </c>
      <c r="B302" s="1">
        <v>45380</v>
      </c>
      <c r="C302" t="s">
        <v>37</v>
      </c>
      <c r="D302" t="s">
        <v>49</v>
      </c>
      <c r="F302">
        <v>39</v>
      </c>
      <c r="G302">
        <v>1.8</v>
      </c>
      <c r="H302" t="s">
        <v>394</v>
      </c>
      <c r="I302">
        <v>1971.67</v>
      </c>
      <c r="J302">
        <v>75</v>
      </c>
      <c r="K302" t="s">
        <v>41</v>
      </c>
      <c r="L302" t="s">
        <v>28</v>
      </c>
      <c r="M302">
        <v>1</v>
      </c>
      <c r="N302" t="s">
        <v>43</v>
      </c>
      <c r="O302">
        <v>87.45</v>
      </c>
    </row>
    <row r="303" spans="1:15" x14ac:dyDescent="0.5">
      <c r="A303" t="s">
        <v>553</v>
      </c>
      <c r="B303" s="3">
        <v>45429</v>
      </c>
      <c r="C303" t="s">
        <v>46</v>
      </c>
      <c r="D303" t="s">
        <v>49</v>
      </c>
      <c r="E303" t="s">
        <v>67</v>
      </c>
      <c r="F303">
        <v>65</v>
      </c>
      <c r="G303">
        <v>4.3</v>
      </c>
      <c r="H303" t="s">
        <v>554</v>
      </c>
      <c r="I303">
        <v>435.47</v>
      </c>
      <c r="J303" s="2">
        <v>0.15</v>
      </c>
      <c r="K303" t="s">
        <v>103</v>
      </c>
      <c r="L303" t="s">
        <v>28</v>
      </c>
      <c r="M303">
        <v>2</v>
      </c>
      <c r="N303" t="s">
        <v>43</v>
      </c>
      <c r="O303">
        <v>98.98</v>
      </c>
    </row>
    <row r="304" spans="1:15" x14ac:dyDescent="0.5">
      <c r="A304" t="s">
        <v>555</v>
      </c>
      <c r="B304" s="3">
        <v>45440</v>
      </c>
      <c r="C304" t="s">
        <v>16</v>
      </c>
      <c r="D304" t="s">
        <v>146</v>
      </c>
      <c r="E304" t="s">
        <v>55</v>
      </c>
      <c r="F304">
        <v>50</v>
      </c>
      <c r="G304">
        <v>3.6</v>
      </c>
      <c r="H304">
        <v>46</v>
      </c>
      <c r="I304">
        <v>931.92</v>
      </c>
      <c r="J304">
        <v>150</v>
      </c>
      <c r="K304" t="s">
        <v>41</v>
      </c>
      <c r="L304" t="s">
        <v>28</v>
      </c>
      <c r="M304">
        <v>3</v>
      </c>
      <c r="N304" t="s">
        <v>35</v>
      </c>
      <c r="O304">
        <v>20.53</v>
      </c>
    </row>
    <row r="305" spans="1:15" x14ac:dyDescent="0.5">
      <c r="A305" t="s">
        <v>556</v>
      </c>
      <c r="B305" s="1">
        <v>45429</v>
      </c>
      <c r="C305" t="s">
        <v>16</v>
      </c>
      <c r="D305" t="s">
        <v>88</v>
      </c>
      <c r="E305" t="s">
        <v>25</v>
      </c>
      <c r="F305">
        <v>28</v>
      </c>
      <c r="G305">
        <v>3.4</v>
      </c>
      <c r="H305" t="s">
        <v>128</v>
      </c>
      <c r="I305">
        <v>2455.15</v>
      </c>
      <c r="J305">
        <v>150</v>
      </c>
      <c r="K305" t="s">
        <v>73</v>
      </c>
      <c r="L305" t="s">
        <v>59</v>
      </c>
      <c r="M305">
        <v>6</v>
      </c>
      <c r="N305" t="s">
        <v>43</v>
      </c>
    </row>
    <row r="306" spans="1:15" x14ac:dyDescent="0.5">
      <c r="A306" t="s">
        <v>557</v>
      </c>
      <c r="B306" s="4">
        <v>45396.50277777778</v>
      </c>
      <c r="C306" t="s">
        <v>244</v>
      </c>
      <c r="D306" t="s">
        <v>58</v>
      </c>
      <c r="F306">
        <v>42</v>
      </c>
      <c r="G306">
        <v>3.2</v>
      </c>
      <c r="H306" t="s">
        <v>178</v>
      </c>
      <c r="I306">
        <v>1589.78</v>
      </c>
      <c r="J306" s="2">
        <v>0.1</v>
      </c>
      <c r="K306" t="s">
        <v>68</v>
      </c>
      <c r="L306" t="s">
        <v>28</v>
      </c>
      <c r="M306">
        <v>7</v>
      </c>
      <c r="N306" t="s">
        <v>29</v>
      </c>
      <c r="O306">
        <v>2.4500000000000002</v>
      </c>
    </row>
    <row r="307" spans="1:15" x14ac:dyDescent="0.5">
      <c r="A307" t="s">
        <v>558</v>
      </c>
      <c r="B307" t="s">
        <v>559</v>
      </c>
      <c r="C307" t="s">
        <v>37</v>
      </c>
      <c r="D307" t="s">
        <v>93</v>
      </c>
      <c r="E307" t="s">
        <v>33</v>
      </c>
      <c r="F307">
        <v>46</v>
      </c>
      <c r="G307">
        <v>3.3</v>
      </c>
      <c r="H307">
        <v>48</v>
      </c>
      <c r="I307">
        <v>1444.89</v>
      </c>
      <c r="J307">
        <v>50</v>
      </c>
      <c r="K307" t="s">
        <v>19</v>
      </c>
      <c r="L307" t="s">
        <v>59</v>
      </c>
      <c r="M307">
        <v>3</v>
      </c>
      <c r="N307" t="s">
        <v>83</v>
      </c>
      <c r="O307">
        <v>29.89</v>
      </c>
    </row>
    <row r="308" spans="1:15" x14ac:dyDescent="0.5">
      <c r="A308" t="s">
        <v>560</v>
      </c>
      <c r="B308" s="1">
        <v>45483</v>
      </c>
      <c r="C308" t="s">
        <v>112</v>
      </c>
      <c r="D308" t="s">
        <v>88</v>
      </c>
      <c r="E308" t="s">
        <v>475</v>
      </c>
      <c r="F308">
        <v>38</v>
      </c>
      <c r="G308">
        <v>3</v>
      </c>
      <c r="H308">
        <v>23</v>
      </c>
      <c r="I308">
        <v>1867.95</v>
      </c>
      <c r="J308">
        <v>0</v>
      </c>
      <c r="K308" t="s">
        <v>103</v>
      </c>
      <c r="L308" t="s">
        <v>28</v>
      </c>
      <c r="M308">
        <v>2</v>
      </c>
      <c r="N308" t="s">
        <v>29</v>
      </c>
      <c r="O308">
        <v>68.930000000000007</v>
      </c>
    </row>
    <row r="309" spans="1:15" x14ac:dyDescent="0.5">
      <c r="A309" t="s">
        <v>561</v>
      </c>
      <c r="B309" s="4">
        <v>45310.258333333331</v>
      </c>
      <c r="C309" t="s">
        <v>76</v>
      </c>
      <c r="D309" t="s">
        <v>17</v>
      </c>
      <c r="F309">
        <v>45</v>
      </c>
      <c r="G309">
        <v>4.4000000000000004</v>
      </c>
      <c r="H309">
        <v>56</v>
      </c>
      <c r="I309">
        <v>1387.03</v>
      </c>
      <c r="J309" s="2">
        <v>0.6</v>
      </c>
      <c r="K309" t="s">
        <v>73</v>
      </c>
      <c r="L309" t="s">
        <v>42</v>
      </c>
      <c r="M309">
        <v>1</v>
      </c>
      <c r="N309" t="s">
        <v>51</v>
      </c>
      <c r="O309">
        <v>177.22</v>
      </c>
    </row>
    <row r="310" spans="1:15" x14ac:dyDescent="0.5">
      <c r="A310" t="s">
        <v>562</v>
      </c>
      <c r="B310" s="4">
        <v>45372.32708333333</v>
      </c>
      <c r="C310" t="s">
        <v>66</v>
      </c>
      <c r="D310" t="s">
        <v>373</v>
      </c>
      <c r="E310" t="s">
        <v>563</v>
      </c>
      <c r="F310">
        <v>65</v>
      </c>
      <c r="G310">
        <v>1.2</v>
      </c>
      <c r="H310">
        <v>40</v>
      </c>
      <c r="I310">
        <v>609.4</v>
      </c>
      <c r="J310">
        <v>0</v>
      </c>
      <c r="K310" t="s">
        <v>68</v>
      </c>
      <c r="L310" t="s">
        <v>42</v>
      </c>
      <c r="M310">
        <v>10</v>
      </c>
      <c r="N310" t="s">
        <v>83</v>
      </c>
      <c r="O310">
        <v>-16.98</v>
      </c>
    </row>
    <row r="311" spans="1:15" x14ac:dyDescent="0.5">
      <c r="A311" t="s">
        <v>564</v>
      </c>
      <c r="B311" s="1">
        <v>45357</v>
      </c>
      <c r="D311" t="s">
        <v>71</v>
      </c>
      <c r="E311" t="s">
        <v>61</v>
      </c>
      <c r="F311">
        <v>59</v>
      </c>
      <c r="G311">
        <v>5</v>
      </c>
      <c r="H311" t="s">
        <v>79</v>
      </c>
      <c r="I311">
        <v>2048.1999999999998</v>
      </c>
      <c r="K311" t="s">
        <v>73</v>
      </c>
      <c r="L311" t="s">
        <v>565</v>
      </c>
      <c r="M311">
        <v>8</v>
      </c>
      <c r="N311" t="s">
        <v>21</v>
      </c>
      <c r="O311">
        <v>205.89</v>
      </c>
    </row>
    <row r="312" spans="1:15" x14ac:dyDescent="0.5">
      <c r="A312" t="s">
        <v>566</v>
      </c>
      <c r="B312" s="1">
        <v>45332</v>
      </c>
      <c r="C312" t="s">
        <v>37</v>
      </c>
      <c r="D312" t="s">
        <v>126</v>
      </c>
      <c r="E312" t="s">
        <v>25</v>
      </c>
      <c r="F312">
        <v>38</v>
      </c>
      <c r="I312">
        <v>187.82</v>
      </c>
      <c r="J312">
        <v>50</v>
      </c>
      <c r="K312" t="s">
        <v>41</v>
      </c>
      <c r="L312" t="s">
        <v>28</v>
      </c>
      <c r="M312">
        <v>4</v>
      </c>
      <c r="N312" t="s">
        <v>21</v>
      </c>
      <c r="O312">
        <v>239.68</v>
      </c>
    </row>
    <row r="313" spans="1:15" x14ac:dyDescent="0.5">
      <c r="A313" t="s">
        <v>567</v>
      </c>
      <c r="B313" s="3">
        <v>45404</v>
      </c>
      <c r="D313" t="s">
        <v>24</v>
      </c>
      <c r="E313" t="s">
        <v>18</v>
      </c>
      <c r="F313">
        <v>65</v>
      </c>
      <c r="G313">
        <v>3.3</v>
      </c>
      <c r="H313" t="s">
        <v>522</v>
      </c>
      <c r="I313">
        <v>428.94</v>
      </c>
      <c r="J313" s="2">
        <v>0.1</v>
      </c>
      <c r="K313" t="s">
        <v>27</v>
      </c>
      <c r="L313" t="s">
        <v>28</v>
      </c>
      <c r="M313">
        <v>5</v>
      </c>
      <c r="N313" t="s">
        <v>83</v>
      </c>
      <c r="O313">
        <v>114.96</v>
      </c>
    </row>
    <row r="314" spans="1:15" x14ac:dyDescent="0.5">
      <c r="A314" t="s">
        <v>568</v>
      </c>
      <c r="B314" s="1">
        <v>45353</v>
      </c>
      <c r="C314" t="s">
        <v>112</v>
      </c>
      <c r="D314" t="s">
        <v>71</v>
      </c>
      <c r="E314" t="s">
        <v>569</v>
      </c>
      <c r="F314">
        <v>38</v>
      </c>
      <c r="H314">
        <v>59</v>
      </c>
      <c r="I314">
        <v>566.84</v>
      </c>
      <c r="J314">
        <v>100</v>
      </c>
      <c r="K314" t="s">
        <v>41</v>
      </c>
      <c r="L314" t="s">
        <v>28</v>
      </c>
      <c r="M314">
        <v>6</v>
      </c>
      <c r="N314" t="s">
        <v>83</v>
      </c>
      <c r="O314">
        <v>32.520000000000003</v>
      </c>
    </row>
    <row r="315" spans="1:15" x14ac:dyDescent="0.5">
      <c r="A315" t="s">
        <v>570</v>
      </c>
      <c r="B315" s="3">
        <v>45316</v>
      </c>
      <c r="C315" t="s">
        <v>571</v>
      </c>
      <c r="D315" t="s">
        <v>88</v>
      </c>
      <c r="E315" t="s">
        <v>97</v>
      </c>
      <c r="F315">
        <v>46</v>
      </c>
      <c r="G315">
        <v>4.9000000000000004</v>
      </c>
      <c r="H315" t="s">
        <v>420</v>
      </c>
      <c r="I315">
        <v>2432.6</v>
      </c>
      <c r="J315">
        <v>120</v>
      </c>
      <c r="K315" t="s">
        <v>68</v>
      </c>
      <c r="L315" t="s">
        <v>42</v>
      </c>
      <c r="M315">
        <v>3</v>
      </c>
      <c r="N315" t="s">
        <v>51</v>
      </c>
      <c r="O315">
        <v>184.09</v>
      </c>
    </row>
    <row r="316" spans="1:15" x14ac:dyDescent="0.5">
      <c r="A316" t="s">
        <v>572</v>
      </c>
      <c r="B316" t="s">
        <v>573</v>
      </c>
      <c r="C316" t="s">
        <v>16</v>
      </c>
      <c r="D316" t="s">
        <v>49</v>
      </c>
      <c r="E316" t="s">
        <v>25</v>
      </c>
      <c r="F316">
        <v>51</v>
      </c>
      <c r="G316">
        <v>4.5999999999999996</v>
      </c>
      <c r="H316">
        <v>32</v>
      </c>
      <c r="I316">
        <v>1837.28</v>
      </c>
      <c r="K316" t="s">
        <v>27</v>
      </c>
      <c r="L316" t="s">
        <v>28</v>
      </c>
      <c r="M316">
        <v>3</v>
      </c>
      <c r="N316" t="s">
        <v>35</v>
      </c>
      <c r="O316">
        <v>240.79</v>
      </c>
    </row>
    <row r="317" spans="1:15" x14ac:dyDescent="0.5">
      <c r="A317" t="s">
        <v>574</v>
      </c>
      <c r="B317" s="1">
        <v>45567</v>
      </c>
      <c r="C317" t="s">
        <v>122</v>
      </c>
      <c r="D317" t="s">
        <v>54</v>
      </c>
      <c r="E317" t="s">
        <v>78</v>
      </c>
      <c r="F317">
        <v>38</v>
      </c>
      <c r="H317" t="s">
        <v>575</v>
      </c>
      <c r="I317">
        <v>1367.69</v>
      </c>
      <c r="J317">
        <v>50</v>
      </c>
      <c r="K317" t="s">
        <v>27</v>
      </c>
      <c r="L317" t="s">
        <v>28</v>
      </c>
      <c r="M317">
        <v>6</v>
      </c>
      <c r="N317" t="s">
        <v>576</v>
      </c>
      <c r="O317">
        <v>196.53</v>
      </c>
    </row>
    <row r="318" spans="1:15" x14ac:dyDescent="0.5">
      <c r="A318" t="s">
        <v>577</v>
      </c>
      <c r="B318" s="4">
        <v>45335.692361111112</v>
      </c>
      <c r="C318" t="s">
        <v>327</v>
      </c>
      <c r="D318" t="s">
        <v>146</v>
      </c>
      <c r="E318" t="s">
        <v>67</v>
      </c>
      <c r="F318">
        <v>35</v>
      </c>
      <c r="G318">
        <v>3.9</v>
      </c>
      <c r="H318">
        <v>80</v>
      </c>
      <c r="I318">
        <v>902.61</v>
      </c>
      <c r="J318" s="2">
        <v>0.2</v>
      </c>
      <c r="L318" t="s">
        <v>28</v>
      </c>
      <c r="M318">
        <v>5</v>
      </c>
      <c r="N318" t="s">
        <v>21</v>
      </c>
      <c r="O318">
        <v>80.989999999999995</v>
      </c>
    </row>
    <row r="319" spans="1:15" x14ac:dyDescent="0.5">
      <c r="A319" t="s">
        <v>578</v>
      </c>
      <c r="B319" s="1">
        <v>45462</v>
      </c>
      <c r="C319" t="s">
        <v>16</v>
      </c>
      <c r="D319" t="s">
        <v>93</v>
      </c>
      <c r="E319" t="s">
        <v>78</v>
      </c>
      <c r="F319">
        <v>46</v>
      </c>
      <c r="G319">
        <v>3.3</v>
      </c>
      <c r="H319">
        <v>66</v>
      </c>
      <c r="I319">
        <v>2055.3200000000002</v>
      </c>
      <c r="J319">
        <v>150</v>
      </c>
      <c r="K319" t="s">
        <v>19</v>
      </c>
      <c r="L319" t="s">
        <v>59</v>
      </c>
      <c r="M319">
        <v>8</v>
      </c>
      <c r="N319" t="s">
        <v>83</v>
      </c>
      <c r="O319">
        <v>36.28</v>
      </c>
    </row>
    <row r="320" spans="1:15" x14ac:dyDescent="0.5">
      <c r="A320" t="s">
        <v>579</v>
      </c>
      <c r="B320" s="4">
        <v>45375.651388888888</v>
      </c>
      <c r="C320" t="s">
        <v>112</v>
      </c>
      <c r="D320" t="s">
        <v>88</v>
      </c>
      <c r="E320" t="s">
        <v>33</v>
      </c>
      <c r="F320">
        <v>65</v>
      </c>
      <c r="G320">
        <v>4.9000000000000004</v>
      </c>
      <c r="H320">
        <v>54</v>
      </c>
      <c r="I320">
        <v>361.09</v>
      </c>
      <c r="J320">
        <v>75</v>
      </c>
      <c r="K320" t="s">
        <v>103</v>
      </c>
      <c r="L320" t="s">
        <v>59</v>
      </c>
      <c r="M320">
        <v>8</v>
      </c>
      <c r="N320" t="s">
        <v>83</v>
      </c>
      <c r="O320">
        <v>26.51</v>
      </c>
    </row>
    <row r="321" spans="1:15" x14ac:dyDescent="0.5">
      <c r="A321" t="s">
        <v>580</v>
      </c>
      <c r="B321" t="s">
        <v>581</v>
      </c>
      <c r="C321" t="s">
        <v>37</v>
      </c>
      <c r="D321" t="s">
        <v>93</v>
      </c>
      <c r="E321" t="s">
        <v>101</v>
      </c>
      <c r="F321">
        <v>42</v>
      </c>
      <c r="G321">
        <v>4.8</v>
      </c>
      <c r="H321">
        <v>52</v>
      </c>
      <c r="I321">
        <v>1579.94</v>
      </c>
      <c r="J321" s="2">
        <v>0.15</v>
      </c>
      <c r="K321" t="s">
        <v>41</v>
      </c>
      <c r="M321">
        <v>4</v>
      </c>
      <c r="N321" t="s">
        <v>35</v>
      </c>
      <c r="O321">
        <v>187.8</v>
      </c>
    </row>
    <row r="322" spans="1:15" x14ac:dyDescent="0.5">
      <c r="A322" t="s">
        <v>582</v>
      </c>
      <c r="B322" s="3">
        <v>45448</v>
      </c>
      <c r="C322" t="s">
        <v>70</v>
      </c>
      <c r="D322" t="s">
        <v>88</v>
      </c>
      <c r="E322" t="s">
        <v>55</v>
      </c>
      <c r="F322">
        <v>34</v>
      </c>
      <c r="G322">
        <v>2.5</v>
      </c>
      <c r="H322">
        <v>45</v>
      </c>
      <c r="I322">
        <v>881.97</v>
      </c>
      <c r="J322">
        <v>50</v>
      </c>
      <c r="K322" t="s">
        <v>73</v>
      </c>
      <c r="L322" t="s">
        <v>28</v>
      </c>
      <c r="M322">
        <v>9</v>
      </c>
      <c r="N322" t="s">
        <v>29</v>
      </c>
      <c r="O322">
        <v>186.39</v>
      </c>
    </row>
    <row r="323" spans="1:15" x14ac:dyDescent="0.5">
      <c r="A323" t="s">
        <v>583</v>
      </c>
      <c r="B323" s="3">
        <v>45457</v>
      </c>
      <c r="C323" t="s">
        <v>66</v>
      </c>
      <c r="D323" t="s">
        <v>236</v>
      </c>
      <c r="F323">
        <v>59</v>
      </c>
      <c r="H323">
        <v>33</v>
      </c>
      <c r="I323">
        <v>271.79000000000002</v>
      </c>
      <c r="J323">
        <v>75</v>
      </c>
      <c r="K323" t="s">
        <v>103</v>
      </c>
      <c r="L323" t="s">
        <v>28</v>
      </c>
      <c r="M323">
        <v>7</v>
      </c>
      <c r="N323" t="s">
        <v>35</v>
      </c>
      <c r="O323">
        <v>150.08000000000001</v>
      </c>
    </row>
    <row r="324" spans="1:15" x14ac:dyDescent="0.5">
      <c r="A324" t="s">
        <v>584</v>
      </c>
      <c r="B324" s="1">
        <v>45422</v>
      </c>
      <c r="C324" t="s">
        <v>37</v>
      </c>
      <c r="D324" t="s">
        <v>17</v>
      </c>
      <c r="E324" t="s">
        <v>97</v>
      </c>
      <c r="F324">
        <v>33</v>
      </c>
      <c r="G324">
        <v>4.0999999999999996</v>
      </c>
      <c r="H324">
        <v>38</v>
      </c>
      <c r="I324">
        <v>190.18</v>
      </c>
      <c r="J324">
        <v>75</v>
      </c>
      <c r="K324" t="s">
        <v>19</v>
      </c>
      <c r="L324" t="s">
        <v>28</v>
      </c>
      <c r="M324">
        <v>6</v>
      </c>
      <c r="N324" t="s">
        <v>35</v>
      </c>
      <c r="O324">
        <v>153.4</v>
      </c>
    </row>
    <row r="325" spans="1:15" x14ac:dyDescent="0.5">
      <c r="A325" t="s">
        <v>585</v>
      </c>
      <c r="B325" s="1">
        <v>45394</v>
      </c>
      <c r="C325" t="s">
        <v>112</v>
      </c>
      <c r="D325" t="s">
        <v>452</v>
      </c>
      <c r="E325" t="s">
        <v>18</v>
      </c>
      <c r="F325">
        <v>51</v>
      </c>
      <c r="H325">
        <v>54</v>
      </c>
      <c r="I325">
        <v>185.82</v>
      </c>
      <c r="J325">
        <v>0</v>
      </c>
      <c r="K325" t="s">
        <v>68</v>
      </c>
      <c r="L325" t="s">
        <v>42</v>
      </c>
      <c r="M325">
        <v>3</v>
      </c>
      <c r="N325" t="s">
        <v>51</v>
      </c>
      <c r="O325">
        <v>65.430000000000007</v>
      </c>
    </row>
    <row r="326" spans="1:15" x14ac:dyDescent="0.5">
      <c r="A326" t="s">
        <v>586</v>
      </c>
      <c r="B326" s="4">
        <v>45405.043055555558</v>
      </c>
      <c r="C326" t="s">
        <v>37</v>
      </c>
      <c r="D326" t="s">
        <v>54</v>
      </c>
      <c r="E326" t="s">
        <v>33</v>
      </c>
      <c r="F326">
        <v>39</v>
      </c>
      <c r="G326">
        <v>4.7</v>
      </c>
      <c r="H326">
        <v>64</v>
      </c>
      <c r="I326">
        <v>1986.07</v>
      </c>
      <c r="J326">
        <v>0</v>
      </c>
      <c r="K326" t="s">
        <v>73</v>
      </c>
      <c r="L326" t="s">
        <v>28</v>
      </c>
      <c r="M326">
        <v>8</v>
      </c>
      <c r="N326" t="s">
        <v>29</v>
      </c>
      <c r="O326">
        <v>-47.4</v>
      </c>
    </row>
    <row r="327" spans="1:15" x14ac:dyDescent="0.5">
      <c r="A327" t="s">
        <v>587</v>
      </c>
      <c r="B327" t="s">
        <v>449</v>
      </c>
      <c r="C327" t="s">
        <v>37</v>
      </c>
      <c r="D327" t="s">
        <v>49</v>
      </c>
      <c r="E327" t="s">
        <v>55</v>
      </c>
      <c r="F327">
        <v>38</v>
      </c>
      <c r="G327">
        <v>3.4</v>
      </c>
      <c r="H327">
        <v>51</v>
      </c>
      <c r="I327">
        <v>1954.61</v>
      </c>
      <c r="J327">
        <v>0</v>
      </c>
      <c r="K327" t="s">
        <v>68</v>
      </c>
      <c r="L327" t="s">
        <v>28</v>
      </c>
      <c r="M327">
        <v>9</v>
      </c>
      <c r="O327">
        <v>19.97</v>
      </c>
    </row>
    <row r="328" spans="1:15" x14ac:dyDescent="0.5">
      <c r="A328" t="s">
        <v>588</v>
      </c>
      <c r="B328" s="4">
        <v>45467.616666666669</v>
      </c>
      <c r="C328" t="s">
        <v>37</v>
      </c>
      <c r="D328" t="s">
        <v>58</v>
      </c>
      <c r="E328" t="s">
        <v>61</v>
      </c>
      <c r="F328">
        <v>18</v>
      </c>
      <c r="H328">
        <v>29</v>
      </c>
      <c r="J328" s="2">
        <v>0.2</v>
      </c>
      <c r="K328" t="s">
        <v>68</v>
      </c>
      <c r="L328" t="s">
        <v>28</v>
      </c>
      <c r="M328">
        <v>5</v>
      </c>
      <c r="N328" t="s">
        <v>43</v>
      </c>
      <c r="O328">
        <v>217.69</v>
      </c>
    </row>
    <row r="329" spans="1:15" x14ac:dyDescent="0.5">
      <c r="A329" t="s">
        <v>589</v>
      </c>
      <c r="B329" s="4">
        <v>45361.581944444442</v>
      </c>
      <c r="C329" t="s">
        <v>70</v>
      </c>
      <c r="D329" t="s">
        <v>236</v>
      </c>
      <c r="E329" t="s">
        <v>55</v>
      </c>
      <c r="F329">
        <v>22</v>
      </c>
      <c r="G329">
        <v>1.5</v>
      </c>
      <c r="H329">
        <v>77</v>
      </c>
      <c r="I329">
        <v>278.27</v>
      </c>
      <c r="J329" s="2">
        <v>0.2</v>
      </c>
      <c r="K329" t="s">
        <v>27</v>
      </c>
      <c r="L329" t="s">
        <v>59</v>
      </c>
      <c r="M329">
        <v>2</v>
      </c>
      <c r="N329" t="s">
        <v>43</v>
      </c>
      <c r="O329">
        <v>233.57</v>
      </c>
    </row>
    <row r="330" spans="1:15" x14ac:dyDescent="0.5">
      <c r="A330" t="s">
        <v>590</v>
      </c>
      <c r="B330" s="1">
        <v>45566</v>
      </c>
      <c r="C330" t="s">
        <v>16</v>
      </c>
      <c r="D330" t="s">
        <v>93</v>
      </c>
      <c r="E330" t="s">
        <v>33</v>
      </c>
      <c r="F330">
        <v>30</v>
      </c>
      <c r="G330">
        <v>3.9</v>
      </c>
      <c r="I330">
        <v>153.82</v>
      </c>
      <c r="J330">
        <v>75</v>
      </c>
      <c r="K330" t="s">
        <v>68</v>
      </c>
      <c r="L330" t="s">
        <v>28</v>
      </c>
      <c r="M330">
        <v>4</v>
      </c>
      <c r="N330" t="s">
        <v>35</v>
      </c>
    </row>
    <row r="331" spans="1:15" x14ac:dyDescent="0.5">
      <c r="A331" t="s">
        <v>591</v>
      </c>
      <c r="B331" s="1">
        <v>45446</v>
      </c>
      <c r="C331" t="s">
        <v>136</v>
      </c>
      <c r="D331" t="s">
        <v>105</v>
      </c>
      <c r="E331" t="s">
        <v>144</v>
      </c>
      <c r="F331">
        <v>61</v>
      </c>
      <c r="G331">
        <v>2.5</v>
      </c>
      <c r="H331">
        <v>64</v>
      </c>
      <c r="I331" t="s">
        <v>592</v>
      </c>
      <c r="J331" s="2">
        <v>0.1</v>
      </c>
      <c r="K331" t="s">
        <v>272</v>
      </c>
      <c r="L331" t="s">
        <v>28</v>
      </c>
      <c r="M331">
        <v>10</v>
      </c>
      <c r="N331" t="s">
        <v>43</v>
      </c>
      <c r="O331">
        <v>145.35</v>
      </c>
    </row>
    <row r="332" spans="1:15" x14ac:dyDescent="0.5">
      <c r="A332" t="s">
        <v>593</v>
      </c>
      <c r="B332" s="3">
        <v>45408</v>
      </c>
      <c r="C332" t="s">
        <v>136</v>
      </c>
      <c r="D332" t="s">
        <v>49</v>
      </c>
      <c r="E332" t="s">
        <v>594</v>
      </c>
      <c r="F332">
        <v>47</v>
      </c>
      <c r="G332">
        <v>4.5</v>
      </c>
      <c r="H332">
        <v>66</v>
      </c>
      <c r="I332">
        <v>417.56</v>
      </c>
      <c r="J332" s="2">
        <v>0.5</v>
      </c>
      <c r="K332" t="s">
        <v>41</v>
      </c>
      <c r="L332" t="s">
        <v>28</v>
      </c>
      <c r="M332">
        <v>3</v>
      </c>
      <c r="N332" t="s">
        <v>29</v>
      </c>
      <c r="O332">
        <v>155.15</v>
      </c>
    </row>
    <row r="333" spans="1:15" x14ac:dyDescent="0.5">
      <c r="A333" t="s">
        <v>595</v>
      </c>
      <c r="B333" t="s">
        <v>596</v>
      </c>
      <c r="C333" t="s">
        <v>81</v>
      </c>
      <c r="D333" t="s">
        <v>58</v>
      </c>
      <c r="E333" t="s">
        <v>67</v>
      </c>
      <c r="F333">
        <v>21</v>
      </c>
      <c r="G333">
        <v>2.4</v>
      </c>
      <c r="H333">
        <v>64</v>
      </c>
      <c r="I333">
        <v>2350.35</v>
      </c>
      <c r="J333">
        <v>0</v>
      </c>
      <c r="K333" t="s">
        <v>27</v>
      </c>
      <c r="L333" t="s">
        <v>28</v>
      </c>
      <c r="M333">
        <v>4</v>
      </c>
      <c r="N333" t="s">
        <v>35</v>
      </c>
      <c r="O333">
        <v>206.45</v>
      </c>
    </row>
    <row r="334" spans="1:15" x14ac:dyDescent="0.5">
      <c r="A334" t="s">
        <v>597</v>
      </c>
      <c r="B334" t="s">
        <v>598</v>
      </c>
      <c r="C334" t="s">
        <v>112</v>
      </c>
      <c r="D334" t="s">
        <v>17</v>
      </c>
      <c r="E334" t="s">
        <v>97</v>
      </c>
      <c r="F334">
        <v>31</v>
      </c>
      <c r="G334">
        <v>1.3</v>
      </c>
      <c r="H334">
        <v>55</v>
      </c>
      <c r="I334">
        <v>1508.61</v>
      </c>
      <c r="J334">
        <v>150</v>
      </c>
      <c r="K334" t="s">
        <v>68</v>
      </c>
      <c r="L334" t="s">
        <v>42</v>
      </c>
      <c r="M334">
        <v>7</v>
      </c>
      <c r="N334" t="s">
        <v>35</v>
      </c>
      <c r="O334">
        <v>150.94999999999999</v>
      </c>
    </row>
    <row r="335" spans="1:15" x14ac:dyDescent="0.5">
      <c r="A335" t="s">
        <v>599</v>
      </c>
      <c r="B335" s="3">
        <v>45321</v>
      </c>
      <c r="C335" t="s">
        <v>463</v>
      </c>
      <c r="D335" t="s">
        <v>24</v>
      </c>
      <c r="E335" t="s">
        <v>61</v>
      </c>
      <c r="F335">
        <v>49</v>
      </c>
      <c r="G335">
        <v>3.3</v>
      </c>
      <c r="H335">
        <v>25</v>
      </c>
      <c r="I335" t="s">
        <v>600</v>
      </c>
      <c r="J335" s="2">
        <v>0.2</v>
      </c>
      <c r="K335" t="s">
        <v>27</v>
      </c>
      <c r="L335" t="s">
        <v>42</v>
      </c>
      <c r="M335">
        <v>2</v>
      </c>
      <c r="N335" t="s">
        <v>83</v>
      </c>
      <c r="O335">
        <v>-74.73</v>
      </c>
    </row>
    <row r="336" spans="1:15" x14ac:dyDescent="0.5">
      <c r="A336" t="s">
        <v>601</v>
      </c>
      <c r="B336" s="1">
        <v>45415</v>
      </c>
      <c r="C336" t="s">
        <v>472</v>
      </c>
      <c r="D336" t="s">
        <v>49</v>
      </c>
      <c r="E336" t="s">
        <v>67</v>
      </c>
      <c r="F336">
        <v>60</v>
      </c>
      <c r="G336">
        <v>1.3</v>
      </c>
      <c r="H336">
        <v>31</v>
      </c>
      <c r="I336">
        <v>2195.46</v>
      </c>
      <c r="L336" t="s">
        <v>28</v>
      </c>
      <c r="M336">
        <v>5</v>
      </c>
      <c r="N336" t="s">
        <v>29</v>
      </c>
      <c r="O336">
        <v>89.15</v>
      </c>
    </row>
    <row r="337" spans="1:15" x14ac:dyDescent="0.5">
      <c r="A337" t="s">
        <v>602</v>
      </c>
      <c r="B337" s="4">
        <v>45325.492361111108</v>
      </c>
      <c r="C337" t="s">
        <v>37</v>
      </c>
      <c r="D337" t="s">
        <v>93</v>
      </c>
      <c r="F337">
        <v>24</v>
      </c>
      <c r="G337">
        <v>1.7</v>
      </c>
      <c r="H337" t="s">
        <v>175</v>
      </c>
      <c r="I337">
        <v>2027.47</v>
      </c>
      <c r="J337">
        <v>0</v>
      </c>
      <c r="L337" t="s">
        <v>59</v>
      </c>
      <c r="M337">
        <v>8</v>
      </c>
      <c r="N337" t="s">
        <v>29</v>
      </c>
      <c r="O337">
        <v>-45.08</v>
      </c>
    </row>
    <row r="338" spans="1:15" x14ac:dyDescent="0.5">
      <c r="A338" t="s">
        <v>603</v>
      </c>
      <c r="B338" s="1">
        <v>45482</v>
      </c>
      <c r="C338" t="s">
        <v>604</v>
      </c>
      <c r="D338" t="s">
        <v>58</v>
      </c>
      <c r="E338" t="s">
        <v>18</v>
      </c>
      <c r="F338">
        <v>63</v>
      </c>
      <c r="G338">
        <v>2.2000000000000002</v>
      </c>
      <c r="H338">
        <v>22</v>
      </c>
      <c r="I338">
        <v>1173.19</v>
      </c>
      <c r="K338" t="s">
        <v>68</v>
      </c>
      <c r="L338" t="s">
        <v>42</v>
      </c>
      <c r="M338">
        <v>3</v>
      </c>
      <c r="N338" t="s">
        <v>83</v>
      </c>
      <c r="O338">
        <v>50.24</v>
      </c>
    </row>
    <row r="339" spans="1:15" x14ac:dyDescent="0.5">
      <c r="A339" t="s">
        <v>605</v>
      </c>
      <c r="B339" s="1">
        <v>45455</v>
      </c>
      <c r="C339" t="s">
        <v>23</v>
      </c>
      <c r="D339" t="s">
        <v>54</v>
      </c>
      <c r="E339" t="s">
        <v>67</v>
      </c>
      <c r="F339">
        <v>23</v>
      </c>
      <c r="G339">
        <v>4.5999999999999996</v>
      </c>
      <c r="H339">
        <v>26</v>
      </c>
      <c r="I339">
        <v>877.79</v>
      </c>
      <c r="J339">
        <v>150</v>
      </c>
      <c r="K339" t="s">
        <v>27</v>
      </c>
      <c r="L339" t="s">
        <v>59</v>
      </c>
      <c r="M339">
        <v>8</v>
      </c>
      <c r="N339" t="s">
        <v>83</v>
      </c>
      <c r="O339">
        <v>249.7</v>
      </c>
    </row>
    <row r="340" spans="1:15" x14ac:dyDescent="0.5">
      <c r="A340" t="s">
        <v>606</v>
      </c>
      <c r="B340" t="s">
        <v>512</v>
      </c>
      <c r="C340" t="s">
        <v>81</v>
      </c>
      <c r="D340" t="s">
        <v>24</v>
      </c>
      <c r="E340" t="s">
        <v>55</v>
      </c>
      <c r="F340">
        <v>58</v>
      </c>
      <c r="G340">
        <v>2.5</v>
      </c>
      <c r="H340">
        <v>37</v>
      </c>
      <c r="I340">
        <v>479.47</v>
      </c>
      <c r="J340" s="2">
        <v>0.1</v>
      </c>
      <c r="K340" t="s">
        <v>41</v>
      </c>
      <c r="L340" t="s">
        <v>28</v>
      </c>
      <c r="M340">
        <v>9</v>
      </c>
      <c r="N340" t="s">
        <v>83</v>
      </c>
      <c r="O340">
        <v>158.83000000000001</v>
      </c>
    </row>
    <row r="341" spans="1:15" x14ac:dyDescent="0.5">
      <c r="A341" t="s">
        <v>607</v>
      </c>
      <c r="B341" t="s">
        <v>608</v>
      </c>
      <c r="C341" t="s">
        <v>16</v>
      </c>
      <c r="D341" t="s">
        <v>58</v>
      </c>
      <c r="F341">
        <v>28</v>
      </c>
      <c r="G341">
        <v>2.2000000000000002</v>
      </c>
      <c r="H341">
        <v>30</v>
      </c>
      <c r="I341">
        <v>1545.9</v>
      </c>
      <c r="J341" s="2">
        <v>0.2</v>
      </c>
      <c r="K341" t="s">
        <v>27</v>
      </c>
      <c r="M341">
        <v>4</v>
      </c>
      <c r="N341" t="s">
        <v>35</v>
      </c>
      <c r="O341">
        <v>220.35</v>
      </c>
    </row>
    <row r="342" spans="1:15" x14ac:dyDescent="0.5">
      <c r="A342" t="s">
        <v>609</v>
      </c>
      <c r="B342" s="1">
        <v>45296</v>
      </c>
      <c r="C342" t="s">
        <v>122</v>
      </c>
      <c r="D342" t="s">
        <v>146</v>
      </c>
      <c r="E342" t="s">
        <v>25</v>
      </c>
      <c r="F342">
        <v>38</v>
      </c>
      <c r="G342">
        <v>1.4</v>
      </c>
      <c r="H342">
        <v>56</v>
      </c>
      <c r="I342">
        <v>313.51</v>
      </c>
      <c r="J342">
        <v>150</v>
      </c>
      <c r="K342" t="s">
        <v>73</v>
      </c>
      <c r="L342" t="s">
        <v>59</v>
      </c>
      <c r="M342">
        <v>8</v>
      </c>
      <c r="N342" t="s">
        <v>155</v>
      </c>
      <c r="O342">
        <v>37.54</v>
      </c>
    </row>
    <row r="343" spans="1:15" x14ac:dyDescent="0.5">
      <c r="A343" t="s">
        <v>610</v>
      </c>
      <c r="B343" s="3">
        <v>45373</v>
      </c>
      <c r="C343" t="s">
        <v>122</v>
      </c>
      <c r="D343" t="s">
        <v>146</v>
      </c>
      <c r="E343" t="s">
        <v>25</v>
      </c>
      <c r="F343">
        <v>62</v>
      </c>
      <c r="G343">
        <v>1</v>
      </c>
      <c r="H343">
        <v>33</v>
      </c>
      <c r="J343">
        <v>100</v>
      </c>
      <c r="K343" t="s">
        <v>19</v>
      </c>
      <c r="L343" t="s">
        <v>28</v>
      </c>
      <c r="M343">
        <v>6</v>
      </c>
      <c r="N343" t="s">
        <v>21</v>
      </c>
      <c r="O343">
        <v>-14.73</v>
      </c>
    </row>
    <row r="344" spans="1:15" x14ac:dyDescent="0.5">
      <c r="A344" t="s">
        <v>611</v>
      </c>
      <c r="B344" s="1">
        <v>45374</v>
      </c>
      <c r="C344" t="s">
        <v>76</v>
      </c>
      <c r="E344" t="s">
        <v>55</v>
      </c>
      <c r="F344">
        <v>20</v>
      </c>
      <c r="G344">
        <v>2.2999999999999998</v>
      </c>
      <c r="H344">
        <v>20</v>
      </c>
      <c r="I344" t="s">
        <v>612</v>
      </c>
      <c r="J344">
        <v>50</v>
      </c>
      <c r="K344" t="s">
        <v>41</v>
      </c>
      <c r="L344" t="s">
        <v>28</v>
      </c>
      <c r="M344">
        <v>6</v>
      </c>
      <c r="N344" t="s">
        <v>83</v>
      </c>
      <c r="O344">
        <v>167.78</v>
      </c>
    </row>
    <row r="345" spans="1:15" x14ac:dyDescent="0.5">
      <c r="A345" t="s">
        <v>613</v>
      </c>
      <c r="B345" s="4">
        <v>45456.5625</v>
      </c>
      <c r="C345" t="s">
        <v>37</v>
      </c>
      <c r="D345" t="s">
        <v>339</v>
      </c>
      <c r="F345">
        <v>62</v>
      </c>
      <c r="G345">
        <v>1.2</v>
      </c>
      <c r="H345" t="s">
        <v>614</v>
      </c>
      <c r="I345">
        <v>2380.92</v>
      </c>
      <c r="J345" s="2">
        <v>0.2</v>
      </c>
      <c r="K345" t="s">
        <v>73</v>
      </c>
      <c r="L345" t="s">
        <v>28</v>
      </c>
      <c r="M345">
        <v>7</v>
      </c>
      <c r="N345" t="s">
        <v>51</v>
      </c>
      <c r="O345">
        <v>-68.12</v>
      </c>
    </row>
    <row r="346" spans="1:15" x14ac:dyDescent="0.5">
      <c r="A346" t="s">
        <v>615</v>
      </c>
      <c r="B346" s="3">
        <v>45312</v>
      </c>
      <c r="C346" t="s">
        <v>37</v>
      </c>
      <c r="D346" t="s">
        <v>146</v>
      </c>
      <c r="E346" t="s">
        <v>33</v>
      </c>
      <c r="F346">
        <v>34</v>
      </c>
      <c r="G346">
        <v>3.6</v>
      </c>
      <c r="H346">
        <v>72</v>
      </c>
      <c r="I346">
        <v>1556.02</v>
      </c>
      <c r="J346">
        <v>100</v>
      </c>
      <c r="K346" t="s">
        <v>616</v>
      </c>
      <c r="L346" t="s">
        <v>28</v>
      </c>
      <c r="M346">
        <v>10</v>
      </c>
      <c r="N346" t="s">
        <v>29</v>
      </c>
      <c r="O346">
        <v>142.49</v>
      </c>
    </row>
    <row r="347" spans="1:15" x14ac:dyDescent="0.5">
      <c r="A347" t="s">
        <v>617</v>
      </c>
      <c r="B347" s="4">
        <v>45305.92083333333</v>
      </c>
      <c r="C347" t="s">
        <v>218</v>
      </c>
      <c r="D347" t="s">
        <v>17</v>
      </c>
      <c r="E347" t="s">
        <v>67</v>
      </c>
      <c r="F347">
        <v>56</v>
      </c>
      <c r="G347">
        <v>4.7</v>
      </c>
      <c r="H347">
        <v>51</v>
      </c>
      <c r="I347">
        <v>2012.11</v>
      </c>
      <c r="J347">
        <v>0</v>
      </c>
      <c r="K347" t="s">
        <v>272</v>
      </c>
      <c r="L347" t="s">
        <v>28</v>
      </c>
      <c r="M347">
        <v>1</v>
      </c>
      <c r="N347" t="s">
        <v>83</v>
      </c>
      <c r="O347" t="s">
        <v>618</v>
      </c>
    </row>
    <row r="348" spans="1:15" x14ac:dyDescent="0.5">
      <c r="A348" t="s">
        <v>619</v>
      </c>
      <c r="B348" s="1">
        <v>45400</v>
      </c>
      <c r="C348" t="s">
        <v>620</v>
      </c>
      <c r="D348" t="s">
        <v>93</v>
      </c>
      <c r="E348" t="s">
        <v>25</v>
      </c>
      <c r="F348">
        <v>48</v>
      </c>
      <c r="G348">
        <v>1.5</v>
      </c>
      <c r="H348">
        <v>73</v>
      </c>
      <c r="I348">
        <v>2190.1</v>
      </c>
      <c r="J348">
        <v>75</v>
      </c>
      <c r="K348" t="s">
        <v>19</v>
      </c>
      <c r="L348" t="s">
        <v>42</v>
      </c>
      <c r="M348">
        <v>1</v>
      </c>
      <c r="N348" t="s">
        <v>43</v>
      </c>
    </row>
    <row r="349" spans="1:15" x14ac:dyDescent="0.5">
      <c r="A349" t="s">
        <v>621</v>
      </c>
      <c r="B349" s="4">
        <v>45489.399305555555</v>
      </c>
      <c r="C349" t="s">
        <v>407</v>
      </c>
      <c r="D349" t="s">
        <v>54</v>
      </c>
      <c r="E349" t="s">
        <v>622</v>
      </c>
      <c r="F349">
        <v>45</v>
      </c>
      <c r="G349">
        <v>3.8</v>
      </c>
      <c r="H349">
        <v>21</v>
      </c>
      <c r="I349" t="s">
        <v>623</v>
      </c>
      <c r="J349" s="2">
        <v>0.5</v>
      </c>
      <c r="K349" t="s">
        <v>103</v>
      </c>
      <c r="L349" t="s">
        <v>28</v>
      </c>
      <c r="M349">
        <v>7</v>
      </c>
      <c r="N349" t="s">
        <v>35</v>
      </c>
      <c r="O349">
        <v>244.56</v>
      </c>
    </row>
    <row r="350" spans="1:15" x14ac:dyDescent="0.5">
      <c r="A350" t="s">
        <v>624</v>
      </c>
      <c r="B350" s="1">
        <v>45448</v>
      </c>
      <c r="C350" t="s">
        <v>167</v>
      </c>
      <c r="D350" t="s">
        <v>49</v>
      </c>
      <c r="E350" t="s">
        <v>625</v>
      </c>
      <c r="F350">
        <v>58</v>
      </c>
      <c r="G350">
        <v>2.4</v>
      </c>
      <c r="H350">
        <v>35</v>
      </c>
      <c r="I350">
        <v>2145.61</v>
      </c>
      <c r="J350">
        <v>50</v>
      </c>
      <c r="K350" t="s">
        <v>27</v>
      </c>
      <c r="L350" t="s">
        <v>28</v>
      </c>
      <c r="M350">
        <v>5</v>
      </c>
      <c r="N350" t="s">
        <v>51</v>
      </c>
      <c r="O350">
        <v>-5.16</v>
      </c>
    </row>
    <row r="351" spans="1:15" x14ac:dyDescent="0.5">
      <c r="A351" t="s">
        <v>626</v>
      </c>
      <c r="B351" s="1">
        <v>45450</v>
      </c>
      <c r="C351" t="s">
        <v>70</v>
      </c>
      <c r="D351" t="s">
        <v>71</v>
      </c>
      <c r="E351" t="s">
        <v>67</v>
      </c>
      <c r="F351">
        <v>50</v>
      </c>
      <c r="G351">
        <v>3</v>
      </c>
      <c r="H351">
        <v>54</v>
      </c>
      <c r="I351">
        <v>695.56</v>
      </c>
      <c r="J351">
        <v>120</v>
      </c>
      <c r="K351" t="s">
        <v>27</v>
      </c>
      <c r="L351" t="s">
        <v>28</v>
      </c>
      <c r="M351">
        <v>2</v>
      </c>
      <c r="N351" t="s">
        <v>21</v>
      </c>
      <c r="O351">
        <v>59.23</v>
      </c>
    </row>
    <row r="352" spans="1:15" x14ac:dyDescent="0.5">
      <c r="A352" t="s">
        <v>627</v>
      </c>
      <c r="B352" t="s">
        <v>457</v>
      </c>
      <c r="C352" t="s">
        <v>66</v>
      </c>
      <c r="D352" t="s">
        <v>146</v>
      </c>
      <c r="E352" t="s">
        <v>61</v>
      </c>
      <c r="F352">
        <v>52</v>
      </c>
      <c r="G352">
        <v>2.7</v>
      </c>
      <c r="H352">
        <v>59</v>
      </c>
      <c r="I352">
        <v>2378.91</v>
      </c>
      <c r="J352">
        <v>100</v>
      </c>
      <c r="K352" t="s">
        <v>19</v>
      </c>
      <c r="L352" t="s">
        <v>59</v>
      </c>
      <c r="M352">
        <v>2</v>
      </c>
      <c r="N352" t="s">
        <v>43</v>
      </c>
      <c r="O352">
        <v>119.19</v>
      </c>
    </row>
    <row r="353" spans="1:15" x14ac:dyDescent="0.5">
      <c r="A353" t="s">
        <v>628</v>
      </c>
      <c r="B353" s="1">
        <v>45472</v>
      </c>
      <c r="C353" t="s">
        <v>70</v>
      </c>
      <c r="D353" t="s">
        <v>17</v>
      </c>
      <c r="E353" t="s">
        <v>67</v>
      </c>
      <c r="F353">
        <v>64</v>
      </c>
      <c r="H353">
        <v>77</v>
      </c>
      <c r="I353">
        <v>533.92999999999995</v>
      </c>
      <c r="J353">
        <v>0</v>
      </c>
      <c r="K353" t="s">
        <v>73</v>
      </c>
      <c r="L353" t="s">
        <v>28</v>
      </c>
      <c r="N353" t="s">
        <v>29</v>
      </c>
    </row>
    <row r="354" spans="1:15" x14ac:dyDescent="0.5">
      <c r="A354" t="s">
        <v>629</v>
      </c>
      <c r="B354" s="3">
        <v>45466</v>
      </c>
      <c r="C354" t="s">
        <v>66</v>
      </c>
      <c r="D354" t="s">
        <v>49</v>
      </c>
      <c r="F354">
        <v>62</v>
      </c>
      <c r="G354">
        <v>3.8</v>
      </c>
      <c r="H354">
        <v>62</v>
      </c>
      <c r="I354" t="s">
        <v>630</v>
      </c>
      <c r="J354">
        <v>75</v>
      </c>
      <c r="K354" t="s">
        <v>41</v>
      </c>
      <c r="L354" t="s">
        <v>59</v>
      </c>
      <c r="M354">
        <v>9</v>
      </c>
      <c r="N354" t="s">
        <v>35</v>
      </c>
      <c r="O354">
        <v>-40.07</v>
      </c>
    </row>
    <row r="355" spans="1:15" x14ac:dyDescent="0.5">
      <c r="A355" t="s">
        <v>631</v>
      </c>
      <c r="B355" s="3">
        <v>45406</v>
      </c>
      <c r="C355" t="s">
        <v>76</v>
      </c>
      <c r="D355" t="s">
        <v>146</v>
      </c>
      <c r="E355" t="s">
        <v>33</v>
      </c>
      <c r="F355">
        <v>50</v>
      </c>
      <c r="G355">
        <v>1.5</v>
      </c>
      <c r="H355">
        <v>16</v>
      </c>
      <c r="I355">
        <v>841.96</v>
      </c>
      <c r="J355" s="2">
        <v>0.15</v>
      </c>
      <c r="K355" t="s">
        <v>41</v>
      </c>
      <c r="L355" t="s">
        <v>28</v>
      </c>
      <c r="M355">
        <v>9</v>
      </c>
      <c r="N355" t="s">
        <v>21</v>
      </c>
      <c r="O355">
        <v>88.26</v>
      </c>
    </row>
    <row r="356" spans="1:15" x14ac:dyDescent="0.5">
      <c r="A356" t="s">
        <v>632</v>
      </c>
      <c r="B356" s="1">
        <v>45310</v>
      </c>
      <c r="C356" t="s">
        <v>112</v>
      </c>
      <c r="D356" t="s">
        <v>633</v>
      </c>
      <c r="E356" t="s">
        <v>634</v>
      </c>
      <c r="F356">
        <v>56</v>
      </c>
      <c r="G356">
        <v>1.9</v>
      </c>
      <c r="H356">
        <v>76</v>
      </c>
      <c r="I356">
        <v>1583.45</v>
      </c>
      <c r="J356">
        <v>150</v>
      </c>
      <c r="K356" t="s">
        <v>27</v>
      </c>
      <c r="L356" t="s">
        <v>635</v>
      </c>
      <c r="M356">
        <v>3</v>
      </c>
      <c r="O356">
        <v>11.54</v>
      </c>
    </row>
    <row r="357" spans="1:15" x14ac:dyDescent="0.5">
      <c r="A357" t="s">
        <v>636</v>
      </c>
      <c r="B357" s="3">
        <v>45379</v>
      </c>
      <c r="C357" t="s">
        <v>122</v>
      </c>
      <c r="D357" t="s">
        <v>71</v>
      </c>
      <c r="E357" t="s">
        <v>18</v>
      </c>
      <c r="F357">
        <v>48</v>
      </c>
      <c r="G357">
        <v>3.8</v>
      </c>
      <c r="H357">
        <v>23</v>
      </c>
      <c r="I357">
        <v>718.79</v>
      </c>
      <c r="J357" s="2">
        <v>0.2</v>
      </c>
      <c r="K357" t="s">
        <v>103</v>
      </c>
      <c r="L357" t="s">
        <v>42</v>
      </c>
      <c r="M357">
        <v>6</v>
      </c>
      <c r="N357" t="s">
        <v>51</v>
      </c>
      <c r="O357">
        <v>117.26</v>
      </c>
    </row>
    <row r="358" spans="1:15" x14ac:dyDescent="0.5">
      <c r="A358" t="s">
        <v>637</v>
      </c>
      <c r="B358" s="1">
        <v>45327</v>
      </c>
      <c r="C358" t="s">
        <v>112</v>
      </c>
      <c r="D358" t="s">
        <v>146</v>
      </c>
      <c r="E358" t="s">
        <v>101</v>
      </c>
      <c r="F358">
        <v>29</v>
      </c>
      <c r="G358">
        <v>4.2</v>
      </c>
      <c r="H358">
        <v>65</v>
      </c>
      <c r="I358">
        <v>1272.74</v>
      </c>
      <c r="J358">
        <v>120</v>
      </c>
      <c r="K358" t="s">
        <v>73</v>
      </c>
      <c r="L358" t="s">
        <v>28</v>
      </c>
      <c r="N358" t="s">
        <v>35</v>
      </c>
      <c r="O358">
        <v>83.37</v>
      </c>
    </row>
    <row r="359" spans="1:15" x14ac:dyDescent="0.5">
      <c r="A359" t="s">
        <v>638</v>
      </c>
      <c r="B359" s="1">
        <v>45570</v>
      </c>
      <c r="C359" t="s">
        <v>23</v>
      </c>
      <c r="D359" t="s">
        <v>24</v>
      </c>
      <c r="E359" t="s">
        <v>97</v>
      </c>
      <c r="F359">
        <v>35</v>
      </c>
      <c r="G359">
        <v>3.1</v>
      </c>
      <c r="H359" t="s">
        <v>47</v>
      </c>
      <c r="I359">
        <v>2323.2800000000002</v>
      </c>
      <c r="J359" s="2">
        <v>0.6</v>
      </c>
      <c r="L359" t="s">
        <v>59</v>
      </c>
      <c r="M359">
        <v>4</v>
      </c>
      <c r="N359" t="s">
        <v>35</v>
      </c>
      <c r="O359">
        <v>168.07</v>
      </c>
    </row>
    <row r="360" spans="1:15" x14ac:dyDescent="0.5">
      <c r="A360" t="s">
        <v>639</v>
      </c>
      <c r="B360" s="1">
        <v>45444</v>
      </c>
      <c r="C360" t="s">
        <v>66</v>
      </c>
      <c r="D360" t="s">
        <v>17</v>
      </c>
      <c r="E360" t="s">
        <v>101</v>
      </c>
      <c r="F360">
        <v>33</v>
      </c>
      <c r="G360">
        <v>1.7</v>
      </c>
      <c r="H360" t="s">
        <v>614</v>
      </c>
      <c r="J360">
        <v>100</v>
      </c>
      <c r="K360" t="s">
        <v>103</v>
      </c>
      <c r="L360" t="s">
        <v>42</v>
      </c>
      <c r="M360">
        <v>8</v>
      </c>
      <c r="N360" t="s">
        <v>35</v>
      </c>
      <c r="O360">
        <v>122.97</v>
      </c>
    </row>
    <row r="361" spans="1:15" x14ac:dyDescent="0.5">
      <c r="A361" t="s">
        <v>640</v>
      </c>
      <c r="B361" t="s">
        <v>641</v>
      </c>
      <c r="C361" t="s">
        <v>159</v>
      </c>
      <c r="D361" t="s">
        <v>71</v>
      </c>
      <c r="E361" t="s">
        <v>97</v>
      </c>
      <c r="F361">
        <v>31</v>
      </c>
      <c r="G361">
        <v>2.4</v>
      </c>
      <c r="H361">
        <v>52</v>
      </c>
      <c r="I361">
        <v>2258.3200000000002</v>
      </c>
      <c r="J361">
        <v>0</v>
      </c>
      <c r="K361" t="s">
        <v>27</v>
      </c>
      <c r="L361" t="s">
        <v>94</v>
      </c>
      <c r="M361">
        <v>1</v>
      </c>
      <c r="N361" t="s">
        <v>43</v>
      </c>
      <c r="O361">
        <v>59.97</v>
      </c>
    </row>
    <row r="362" spans="1:15" x14ac:dyDescent="0.5">
      <c r="A362" t="s">
        <v>642</v>
      </c>
      <c r="B362" s="1">
        <v>45358</v>
      </c>
      <c r="C362" t="s">
        <v>66</v>
      </c>
      <c r="D362" t="s">
        <v>17</v>
      </c>
      <c r="E362" t="s">
        <v>97</v>
      </c>
      <c r="F362">
        <v>34</v>
      </c>
      <c r="G362">
        <v>4.7</v>
      </c>
      <c r="H362">
        <v>52</v>
      </c>
      <c r="I362">
        <v>457.09</v>
      </c>
      <c r="J362">
        <v>50</v>
      </c>
      <c r="K362" t="s">
        <v>68</v>
      </c>
      <c r="L362" t="s">
        <v>28</v>
      </c>
      <c r="M362">
        <v>3</v>
      </c>
      <c r="N362" t="s">
        <v>83</v>
      </c>
      <c r="O362">
        <v>215.32</v>
      </c>
    </row>
    <row r="363" spans="1:15" x14ac:dyDescent="0.5">
      <c r="A363" t="s">
        <v>643</v>
      </c>
      <c r="B363" s="1">
        <v>45474</v>
      </c>
      <c r="C363" t="s">
        <v>16</v>
      </c>
      <c r="D363" t="s">
        <v>88</v>
      </c>
      <c r="E363" t="s">
        <v>644</v>
      </c>
      <c r="F363">
        <v>50</v>
      </c>
      <c r="G363">
        <v>3</v>
      </c>
      <c r="H363">
        <v>65</v>
      </c>
      <c r="I363" t="s">
        <v>645</v>
      </c>
      <c r="J363" s="2">
        <v>0.15</v>
      </c>
      <c r="K363" t="s">
        <v>68</v>
      </c>
      <c r="L363" t="s">
        <v>59</v>
      </c>
      <c r="M363">
        <v>4</v>
      </c>
      <c r="N363" t="s">
        <v>35</v>
      </c>
      <c r="O363">
        <v>-57.87</v>
      </c>
    </row>
    <row r="364" spans="1:15" x14ac:dyDescent="0.5">
      <c r="B364" s="4">
        <v>45409.752083333333</v>
      </c>
      <c r="C364" t="s">
        <v>112</v>
      </c>
      <c r="D364" t="s">
        <v>24</v>
      </c>
      <c r="E364" t="s">
        <v>78</v>
      </c>
      <c r="F364">
        <v>44</v>
      </c>
      <c r="G364">
        <v>4.4000000000000004</v>
      </c>
      <c r="H364" t="s">
        <v>220</v>
      </c>
      <c r="I364">
        <v>612.41</v>
      </c>
      <c r="J364" s="2">
        <v>0.2</v>
      </c>
      <c r="K364" t="s">
        <v>19</v>
      </c>
      <c r="M364">
        <v>1</v>
      </c>
      <c r="N364" t="s">
        <v>35</v>
      </c>
      <c r="O364">
        <v>-31.43</v>
      </c>
    </row>
    <row r="365" spans="1:15" x14ac:dyDescent="0.5">
      <c r="A365" t="s">
        <v>646</v>
      </c>
      <c r="B365" t="s">
        <v>647</v>
      </c>
      <c r="D365" t="s">
        <v>58</v>
      </c>
      <c r="E365" t="s">
        <v>67</v>
      </c>
      <c r="F365">
        <v>33</v>
      </c>
      <c r="G365">
        <v>4.5999999999999996</v>
      </c>
      <c r="H365">
        <v>52</v>
      </c>
      <c r="I365">
        <v>1010.2</v>
      </c>
      <c r="J365">
        <v>150</v>
      </c>
      <c r="K365" t="s">
        <v>41</v>
      </c>
      <c r="L365" t="s">
        <v>28</v>
      </c>
      <c r="M365">
        <v>8</v>
      </c>
      <c r="N365" t="s">
        <v>21</v>
      </c>
      <c r="O365">
        <v>224.26</v>
      </c>
    </row>
    <row r="366" spans="1:15" x14ac:dyDescent="0.5">
      <c r="A366" t="s">
        <v>648</v>
      </c>
      <c r="B366" s="1">
        <v>45474</v>
      </c>
      <c r="C366" t="s">
        <v>46</v>
      </c>
      <c r="D366" t="s">
        <v>38</v>
      </c>
      <c r="E366" t="s">
        <v>101</v>
      </c>
      <c r="F366">
        <v>49</v>
      </c>
      <c r="G366">
        <v>3.1</v>
      </c>
      <c r="H366">
        <v>79</v>
      </c>
      <c r="I366">
        <v>280.14999999999998</v>
      </c>
      <c r="J366">
        <v>100</v>
      </c>
      <c r="K366" t="s">
        <v>73</v>
      </c>
      <c r="L366" t="s">
        <v>59</v>
      </c>
      <c r="M366">
        <v>10</v>
      </c>
      <c r="N366" t="s">
        <v>43</v>
      </c>
    </row>
    <row r="367" spans="1:15" x14ac:dyDescent="0.5">
      <c r="A367" t="s">
        <v>649</v>
      </c>
      <c r="B367" s="4">
        <v>45341.59375</v>
      </c>
      <c r="C367" t="s">
        <v>136</v>
      </c>
      <c r="D367" t="s">
        <v>126</v>
      </c>
      <c r="E367" t="s">
        <v>67</v>
      </c>
      <c r="F367">
        <v>61</v>
      </c>
      <c r="G367">
        <v>1.3</v>
      </c>
      <c r="H367">
        <v>58</v>
      </c>
      <c r="I367">
        <v>1587.98</v>
      </c>
      <c r="J367">
        <v>75</v>
      </c>
      <c r="K367" t="s">
        <v>103</v>
      </c>
      <c r="L367" t="s">
        <v>59</v>
      </c>
      <c r="M367">
        <v>10</v>
      </c>
      <c r="N367" t="s">
        <v>51</v>
      </c>
      <c r="O367">
        <v>176.84</v>
      </c>
    </row>
    <row r="368" spans="1:15" x14ac:dyDescent="0.5">
      <c r="A368" t="s">
        <v>650</v>
      </c>
      <c r="B368" s="3">
        <v>45361</v>
      </c>
      <c r="C368" t="s">
        <v>23</v>
      </c>
      <c r="D368" t="s">
        <v>54</v>
      </c>
      <c r="E368" t="s">
        <v>18</v>
      </c>
      <c r="F368">
        <v>27</v>
      </c>
      <c r="G368">
        <v>3.8</v>
      </c>
      <c r="H368">
        <v>67</v>
      </c>
      <c r="I368">
        <v>1887.21</v>
      </c>
      <c r="J368" s="2">
        <v>0.1</v>
      </c>
      <c r="K368" t="s">
        <v>68</v>
      </c>
      <c r="L368" t="s">
        <v>28</v>
      </c>
      <c r="M368">
        <v>7</v>
      </c>
      <c r="N368" t="s">
        <v>43</v>
      </c>
      <c r="O368">
        <v>-69.900000000000006</v>
      </c>
    </row>
    <row r="369" spans="1:15" x14ac:dyDescent="0.5">
      <c r="A369" t="s">
        <v>651</v>
      </c>
      <c r="B369" s="1">
        <v>45417</v>
      </c>
      <c r="C369" t="s">
        <v>70</v>
      </c>
      <c r="D369" t="s">
        <v>38</v>
      </c>
      <c r="E369" t="s">
        <v>652</v>
      </c>
      <c r="F369">
        <v>45</v>
      </c>
      <c r="G369">
        <v>1.4</v>
      </c>
      <c r="H369">
        <v>34</v>
      </c>
      <c r="J369" s="2">
        <v>0.15</v>
      </c>
      <c r="K369" t="s">
        <v>73</v>
      </c>
      <c r="L369" t="s">
        <v>59</v>
      </c>
      <c r="M369">
        <v>5</v>
      </c>
      <c r="N369" t="s">
        <v>83</v>
      </c>
    </row>
    <row r="370" spans="1:15" x14ac:dyDescent="0.5">
      <c r="B370" s="3">
        <v>45341</v>
      </c>
      <c r="C370" t="s">
        <v>81</v>
      </c>
      <c r="D370" t="s">
        <v>653</v>
      </c>
      <c r="E370" t="s">
        <v>78</v>
      </c>
      <c r="F370">
        <v>49</v>
      </c>
      <c r="G370">
        <v>3.8</v>
      </c>
      <c r="I370">
        <v>2148.13</v>
      </c>
      <c r="J370">
        <v>100</v>
      </c>
      <c r="K370" t="s">
        <v>73</v>
      </c>
      <c r="L370" t="s">
        <v>28</v>
      </c>
      <c r="M370">
        <v>5</v>
      </c>
      <c r="N370" t="s">
        <v>29</v>
      </c>
      <c r="O370">
        <v>-30.92</v>
      </c>
    </row>
    <row r="371" spans="1:15" x14ac:dyDescent="0.5">
      <c r="A371" t="s">
        <v>654</v>
      </c>
      <c r="B371" s="1">
        <v>45322</v>
      </c>
      <c r="C371" t="s">
        <v>81</v>
      </c>
      <c r="D371" t="s">
        <v>38</v>
      </c>
      <c r="E371" t="s">
        <v>97</v>
      </c>
      <c r="F371">
        <v>37</v>
      </c>
      <c r="G371">
        <v>1.8</v>
      </c>
      <c r="H371">
        <v>19</v>
      </c>
      <c r="I371">
        <v>986.82</v>
      </c>
      <c r="J371" s="2">
        <v>0.1</v>
      </c>
      <c r="K371" t="s">
        <v>19</v>
      </c>
      <c r="L371" t="s">
        <v>28</v>
      </c>
      <c r="M371">
        <v>6</v>
      </c>
      <c r="N371" t="s">
        <v>43</v>
      </c>
      <c r="O371">
        <v>239.01</v>
      </c>
    </row>
    <row r="372" spans="1:15" x14ac:dyDescent="0.5">
      <c r="A372" t="s">
        <v>655</v>
      </c>
      <c r="C372" t="s">
        <v>136</v>
      </c>
      <c r="D372" t="s">
        <v>49</v>
      </c>
      <c r="E372" t="s">
        <v>67</v>
      </c>
      <c r="F372">
        <v>18</v>
      </c>
      <c r="G372">
        <v>3.8</v>
      </c>
      <c r="H372">
        <v>62</v>
      </c>
      <c r="I372" t="s">
        <v>656</v>
      </c>
      <c r="J372">
        <v>120</v>
      </c>
      <c r="K372" t="s">
        <v>68</v>
      </c>
      <c r="L372" t="s">
        <v>28</v>
      </c>
      <c r="M372">
        <v>10</v>
      </c>
      <c r="N372" t="s">
        <v>51</v>
      </c>
      <c r="O372">
        <v>174</v>
      </c>
    </row>
    <row r="373" spans="1:15" x14ac:dyDescent="0.5">
      <c r="A373" t="s">
        <v>657</v>
      </c>
      <c r="B373" s="1">
        <v>45443</v>
      </c>
      <c r="E373" t="s">
        <v>78</v>
      </c>
      <c r="F373">
        <v>47</v>
      </c>
      <c r="G373">
        <v>3.4</v>
      </c>
      <c r="H373" t="s">
        <v>509</v>
      </c>
      <c r="I373">
        <v>2106.83</v>
      </c>
      <c r="J373" s="2">
        <v>0.1</v>
      </c>
      <c r="K373" t="s">
        <v>68</v>
      </c>
      <c r="L373" t="s">
        <v>20</v>
      </c>
      <c r="M373">
        <v>1</v>
      </c>
      <c r="O373">
        <v>-54.89</v>
      </c>
    </row>
    <row r="374" spans="1:15" x14ac:dyDescent="0.5">
      <c r="A374" t="s">
        <v>658</v>
      </c>
      <c r="B374" t="s">
        <v>659</v>
      </c>
      <c r="C374" t="s">
        <v>31</v>
      </c>
      <c r="D374" t="s">
        <v>17</v>
      </c>
      <c r="E374" t="s">
        <v>18</v>
      </c>
      <c r="F374">
        <v>53</v>
      </c>
      <c r="G374">
        <v>1.7</v>
      </c>
      <c r="H374">
        <v>16</v>
      </c>
      <c r="I374" t="s">
        <v>660</v>
      </c>
      <c r="J374">
        <v>100</v>
      </c>
      <c r="K374" t="s">
        <v>19</v>
      </c>
      <c r="L374" t="s">
        <v>42</v>
      </c>
      <c r="M374">
        <v>7</v>
      </c>
      <c r="N374" t="s">
        <v>35</v>
      </c>
      <c r="O374">
        <v>172.48</v>
      </c>
    </row>
    <row r="375" spans="1:15" x14ac:dyDescent="0.5">
      <c r="A375" t="s">
        <v>661</v>
      </c>
      <c r="B375" s="1">
        <v>45455</v>
      </c>
      <c r="C375" t="s">
        <v>244</v>
      </c>
      <c r="D375" t="s">
        <v>58</v>
      </c>
      <c r="E375" t="s">
        <v>101</v>
      </c>
      <c r="F375">
        <v>52</v>
      </c>
      <c r="G375">
        <v>1.5</v>
      </c>
      <c r="H375">
        <v>50</v>
      </c>
      <c r="I375">
        <v>1989.48</v>
      </c>
      <c r="K375" t="s">
        <v>68</v>
      </c>
      <c r="L375" t="s">
        <v>28</v>
      </c>
      <c r="M375">
        <v>2</v>
      </c>
      <c r="N375" t="s">
        <v>21</v>
      </c>
      <c r="O375">
        <v>92.29</v>
      </c>
    </row>
    <row r="376" spans="1:15" x14ac:dyDescent="0.5">
      <c r="A376" t="s">
        <v>662</v>
      </c>
      <c r="B376" s="1">
        <v>45633</v>
      </c>
      <c r="C376" t="s">
        <v>76</v>
      </c>
      <c r="D376" t="s">
        <v>71</v>
      </c>
      <c r="E376" t="s">
        <v>663</v>
      </c>
      <c r="F376">
        <v>49</v>
      </c>
      <c r="G376">
        <v>2.8</v>
      </c>
      <c r="H376">
        <v>62</v>
      </c>
      <c r="I376" t="s">
        <v>664</v>
      </c>
      <c r="J376">
        <v>0</v>
      </c>
      <c r="K376" t="s">
        <v>103</v>
      </c>
      <c r="L376" t="s">
        <v>59</v>
      </c>
      <c r="M376">
        <v>8</v>
      </c>
      <c r="N376" t="s">
        <v>21</v>
      </c>
      <c r="O376">
        <v>91.77</v>
      </c>
    </row>
    <row r="377" spans="1:15" x14ac:dyDescent="0.5">
      <c r="A377" t="s">
        <v>665</v>
      </c>
      <c r="B377" s="4">
        <v>45433.78402777778</v>
      </c>
      <c r="C377" t="s">
        <v>76</v>
      </c>
      <c r="D377" t="s">
        <v>58</v>
      </c>
      <c r="E377" t="s">
        <v>97</v>
      </c>
      <c r="F377">
        <v>34</v>
      </c>
      <c r="G377">
        <v>5</v>
      </c>
      <c r="H377">
        <v>67</v>
      </c>
      <c r="I377">
        <v>2455.52</v>
      </c>
      <c r="J377" s="2">
        <v>0.5</v>
      </c>
      <c r="K377" t="s">
        <v>73</v>
      </c>
      <c r="L377" t="s">
        <v>59</v>
      </c>
      <c r="M377">
        <v>9</v>
      </c>
      <c r="N377" t="s">
        <v>51</v>
      </c>
      <c r="O377">
        <v>-42.59</v>
      </c>
    </row>
    <row r="378" spans="1:15" x14ac:dyDescent="0.5">
      <c r="A378" t="s">
        <v>666</v>
      </c>
      <c r="B378" s="1">
        <v>45293</v>
      </c>
      <c r="C378" t="s">
        <v>122</v>
      </c>
      <c r="D378" t="s">
        <v>88</v>
      </c>
      <c r="E378" t="s">
        <v>18</v>
      </c>
      <c r="F378">
        <v>60</v>
      </c>
      <c r="G378">
        <v>4.5999999999999996</v>
      </c>
      <c r="H378">
        <v>20</v>
      </c>
      <c r="I378">
        <v>862.3</v>
      </c>
      <c r="K378" t="s">
        <v>73</v>
      </c>
      <c r="M378">
        <v>1</v>
      </c>
      <c r="N378" t="s">
        <v>43</v>
      </c>
      <c r="O378">
        <v>-44.73</v>
      </c>
    </row>
    <row r="379" spans="1:15" x14ac:dyDescent="0.5">
      <c r="A379" t="s">
        <v>667</v>
      </c>
      <c r="B379" s="1">
        <v>45385</v>
      </c>
      <c r="C379" t="s">
        <v>136</v>
      </c>
      <c r="D379" t="s">
        <v>17</v>
      </c>
      <c r="E379" t="s">
        <v>18</v>
      </c>
      <c r="F379">
        <v>54</v>
      </c>
      <c r="G379">
        <v>4.0999999999999996</v>
      </c>
      <c r="H379" t="s">
        <v>332</v>
      </c>
      <c r="I379">
        <v>686.23</v>
      </c>
      <c r="J379">
        <v>100</v>
      </c>
      <c r="K379" t="s">
        <v>68</v>
      </c>
      <c r="L379" t="s">
        <v>28</v>
      </c>
      <c r="M379">
        <v>10</v>
      </c>
      <c r="N379" t="s">
        <v>21</v>
      </c>
    </row>
    <row r="380" spans="1:15" x14ac:dyDescent="0.5">
      <c r="A380" t="s">
        <v>668</v>
      </c>
      <c r="B380" s="4">
        <v>45483.359722222223</v>
      </c>
      <c r="C380" t="s">
        <v>122</v>
      </c>
      <c r="D380" t="s">
        <v>49</v>
      </c>
      <c r="E380" t="s">
        <v>39</v>
      </c>
      <c r="F380">
        <v>25</v>
      </c>
      <c r="G380">
        <v>3.6</v>
      </c>
      <c r="H380">
        <v>16</v>
      </c>
      <c r="I380">
        <v>1103.79</v>
      </c>
      <c r="J380">
        <v>50</v>
      </c>
      <c r="K380" t="s">
        <v>27</v>
      </c>
      <c r="L380" t="s">
        <v>28</v>
      </c>
      <c r="M380">
        <v>4</v>
      </c>
      <c r="N380" t="s">
        <v>29</v>
      </c>
      <c r="O380">
        <v>-17.96</v>
      </c>
    </row>
    <row r="381" spans="1:15" x14ac:dyDescent="0.5">
      <c r="A381" t="s">
        <v>669</v>
      </c>
      <c r="B381" s="1">
        <v>45417</v>
      </c>
      <c r="D381" t="s">
        <v>24</v>
      </c>
      <c r="E381" t="s">
        <v>67</v>
      </c>
      <c r="F381">
        <v>36</v>
      </c>
      <c r="G381">
        <v>2.7</v>
      </c>
      <c r="I381">
        <v>1989.95</v>
      </c>
      <c r="J381">
        <v>75</v>
      </c>
      <c r="K381" t="s">
        <v>73</v>
      </c>
      <c r="L381" t="s">
        <v>59</v>
      </c>
      <c r="M381">
        <v>8</v>
      </c>
      <c r="N381" t="s">
        <v>35</v>
      </c>
      <c r="O381">
        <v>177.73</v>
      </c>
    </row>
    <row r="382" spans="1:15" x14ac:dyDescent="0.5">
      <c r="A382" t="s">
        <v>670</v>
      </c>
      <c r="B382" s="4">
        <v>45433.724305555559</v>
      </c>
      <c r="C382" t="s">
        <v>136</v>
      </c>
      <c r="D382" t="s">
        <v>54</v>
      </c>
      <c r="F382">
        <v>24</v>
      </c>
      <c r="G382">
        <v>2.1</v>
      </c>
      <c r="H382">
        <v>38</v>
      </c>
      <c r="I382">
        <v>1613.5</v>
      </c>
      <c r="K382" t="s">
        <v>19</v>
      </c>
      <c r="L382" t="s">
        <v>28</v>
      </c>
      <c r="M382">
        <v>5</v>
      </c>
      <c r="N382" t="s">
        <v>29</v>
      </c>
      <c r="O382">
        <v>185.52</v>
      </c>
    </row>
    <row r="383" spans="1:15" x14ac:dyDescent="0.5">
      <c r="A383" t="s">
        <v>671</v>
      </c>
      <c r="B383" s="1">
        <v>45357</v>
      </c>
      <c r="C383" t="s">
        <v>16</v>
      </c>
      <c r="D383" t="s">
        <v>38</v>
      </c>
      <c r="E383" t="s">
        <v>563</v>
      </c>
      <c r="F383">
        <v>54</v>
      </c>
      <c r="G383">
        <v>1.9</v>
      </c>
      <c r="H383">
        <v>41</v>
      </c>
      <c r="I383">
        <v>1231.6600000000001</v>
      </c>
      <c r="J383">
        <v>0</v>
      </c>
      <c r="K383" t="s">
        <v>27</v>
      </c>
      <c r="L383" t="s">
        <v>42</v>
      </c>
      <c r="M383">
        <v>5</v>
      </c>
      <c r="N383" t="s">
        <v>21</v>
      </c>
      <c r="O383">
        <v>247.13</v>
      </c>
    </row>
    <row r="384" spans="1:15" x14ac:dyDescent="0.5">
      <c r="A384" t="s">
        <v>672</v>
      </c>
      <c r="B384" s="3">
        <v>45315</v>
      </c>
      <c r="C384" t="s">
        <v>122</v>
      </c>
      <c r="D384" t="s">
        <v>58</v>
      </c>
      <c r="E384" t="s">
        <v>39</v>
      </c>
      <c r="F384">
        <v>39</v>
      </c>
      <c r="G384">
        <v>3</v>
      </c>
      <c r="H384" t="s">
        <v>175</v>
      </c>
      <c r="I384">
        <v>780.85</v>
      </c>
      <c r="J384" s="2">
        <v>0.2</v>
      </c>
      <c r="K384" t="s">
        <v>41</v>
      </c>
      <c r="M384">
        <v>3</v>
      </c>
      <c r="N384" t="s">
        <v>155</v>
      </c>
      <c r="O384">
        <v>-20.8</v>
      </c>
    </row>
    <row r="385" spans="1:15" x14ac:dyDescent="0.5">
      <c r="A385" t="s">
        <v>673</v>
      </c>
      <c r="B385" t="s">
        <v>674</v>
      </c>
      <c r="C385" t="s">
        <v>122</v>
      </c>
      <c r="D385" t="s">
        <v>54</v>
      </c>
      <c r="E385" t="s">
        <v>546</v>
      </c>
      <c r="G385">
        <v>4.4000000000000004</v>
      </c>
      <c r="H385">
        <v>25</v>
      </c>
      <c r="I385">
        <v>1939.31</v>
      </c>
      <c r="J385" s="2">
        <v>0.1</v>
      </c>
      <c r="K385" t="s">
        <v>41</v>
      </c>
      <c r="L385" t="s">
        <v>28</v>
      </c>
      <c r="M385">
        <v>10</v>
      </c>
      <c r="N385" t="s">
        <v>51</v>
      </c>
      <c r="O385">
        <v>-28.06</v>
      </c>
    </row>
    <row r="386" spans="1:15" x14ac:dyDescent="0.5">
      <c r="A386" t="s">
        <v>675</v>
      </c>
      <c r="B386" s="1">
        <v>45406</v>
      </c>
      <c r="C386" t="s">
        <v>81</v>
      </c>
      <c r="D386" t="s">
        <v>17</v>
      </c>
      <c r="E386" t="s">
        <v>67</v>
      </c>
      <c r="F386">
        <v>21</v>
      </c>
      <c r="G386">
        <v>3.8</v>
      </c>
      <c r="H386">
        <v>29</v>
      </c>
      <c r="I386">
        <v>1452.95</v>
      </c>
      <c r="J386">
        <v>150</v>
      </c>
      <c r="K386" t="s">
        <v>27</v>
      </c>
      <c r="L386" t="s">
        <v>42</v>
      </c>
      <c r="M386">
        <v>10</v>
      </c>
      <c r="N386" t="s">
        <v>51</v>
      </c>
      <c r="O386">
        <v>102.25</v>
      </c>
    </row>
    <row r="387" spans="1:15" x14ac:dyDescent="0.5">
      <c r="A387" t="s">
        <v>676</v>
      </c>
      <c r="B387" s="1">
        <v>45377</v>
      </c>
      <c r="D387" t="s">
        <v>24</v>
      </c>
      <c r="E387" t="s">
        <v>677</v>
      </c>
      <c r="F387">
        <v>22</v>
      </c>
      <c r="G387">
        <v>3.5</v>
      </c>
      <c r="H387" t="s">
        <v>102</v>
      </c>
      <c r="I387">
        <v>885.98</v>
      </c>
      <c r="J387" s="2">
        <v>0.2</v>
      </c>
      <c r="L387" t="s">
        <v>28</v>
      </c>
      <c r="M387">
        <v>1</v>
      </c>
      <c r="N387" t="s">
        <v>21</v>
      </c>
      <c r="O387">
        <v>186.63</v>
      </c>
    </row>
    <row r="388" spans="1:15" x14ac:dyDescent="0.5">
      <c r="A388" t="s">
        <v>678</v>
      </c>
      <c r="B388" s="4">
        <v>45317.624305555553</v>
      </c>
      <c r="C388" t="s">
        <v>159</v>
      </c>
      <c r="E388" t="s">
        <v>33</v>
      </c>
      <c r="F388">
        <v>50</v>
      </c>
      <c r="G388">
        <v>4</v>
      </c>
      <c r="H388">
        <v>25</v>
      </c>
      <c r="I388" t="s">
        <v>679</v>
      </c>
      <c r="J388">
        <v>120</v>
      </c>
      <c r="K388" t="s">
        <v>41</v>
      </c>
      <c r="L388" t="s">
        <v>42</v>
      </c>
      <c r="M388">
        <v>1</v>
      </c>
      <c r="N388" t="s">
        <v>576</v>
      </c>
    </row>
    <row r="389" spans="1:15" x14ac:dyDescent="0.5">
      <c r="A389" t="s">
        <v>680</v>
      </c>
      <c r="B389" s="1">
        <v>45354</v>
      </c>
      <c r="C389" t="s">
        <v>76</v>
      </c>
      <c r="D389" t="s">
        <v>71</v>
      </c>
      <c r="E389" t="s">
        <v>101</v>
      </c>
      <c r="G389">
        <v>1.7</v>
      </c>
      <c r="H389">
        <v>20</v>
      </c>
      <c r="J389">
        <v>100</v>
      </c>
      <c r="K389" t="s">
        <v>68</v>
      </c>
      <c r="L389" t="s">
        <v>28</v>
      </c>
      <c r="N389" t="s">
        <v>51</v>
      </c>
      <c r="O389">
        <v>202.53</v>
      </c>
    </row>
    <row r="390" spans="1:15" x14ac:dyDescent="0.5">
      <c r="A390" t="s">
        <v>681</v>
      </c>
      <c r="B390" s="3">
        <v>45304</v>
      </c>
      <c r="C390" t="s">
        <v>23</v>
      </c>
      <c r="D390" t="s">
        <v>17</v>
      </c>
      <c r="E390" t="s">
        <v>33</v>
      </c>
      <c r="F390">
        <v>30</v>
      </c>
      <c r="G390">
        <v>4.0999999999999996</v>
      </c>
      <c r="H390">
        <v>23</v>
      </c>
      <c r="I390">
        <v>1071.31</v>
      </c>
      <c r="J390">
        <v>50</v>
      </c>
      <c r="K390" t="s">
        <v>27</v>
      </c>
      <c r="L390" t="s">
        <v>28</v>
      </c>
      <c r="M390">
        <v>7</v>
      </c>
      <c r="N390" t="s">
        <v>83</v>
      </c>
      <c r="O390">
        <v>58.53</v>
      </c>
    </row>
    <row r="391" spans="1:15" x14ac:dyDescent="0.5">
      <c r="A391" t="s">
        <v>682</v>
      </c>
      <c r="B391" s="1">
        <v>45427</v>
      </c>
      <c r="C391" t="s">
        <v>23</v>
      </c>
      <c r="D391" t="s">
        <v>71</v>
      </c>
      <c r="E391" t="s">
        <v>61</v>
      </c>
      <c r="F391">
        <v>29</v>
      </c>
      <c r="G391">
        <v>1.9</v>
      </c>
      <c r="H391">
        <v>58</v>
      </c>
      <c r="I391">
        <v>1413.46</v>
      </c>
      <c r="J391" s="2">
        <v>0.1</v>
      </c>
      <c r="K391" t="s">
        <v>27</v>
      </c>
      <c r="L391" t="s">
        <v>59</v>
      </c>
      <c r="M391">
        <v>9</v>
      </c>
      <c r="N391" t="s">
        <v>74</v>
      </c>
      <c r="O391">
        <v>-5.46</v>
      </c>
    </row>
    <row r="392" spans="1:15" x14ac:dyDescent="0.5">
      <c r="A392" t="s">
        <v>683</v>
      </c>
      <c r="B392" s="3">
        <v>45424</v>
      </c>
      <c r="C392" t="s">
        <v>23</v>
      </c>
      <c r="D392" t="s">
        <v>17</v>
      </c>
      <c r="E392" t="s">
        <v>39</v>
      </c>
      <c r="F392">
        <v>40</v>
      </c>
      <c r="G392">
        <v>3.1</v>
      </c>
      <c r="H392">
        <v>30</v>
      </c>
      <c r="I392">
        <v>1059.43</v>
      </c>
      <c r="J392" s="2">
        <v>0.1</v>
      </c>
      <c r="K392" t="s">
        <v>19</v>
      </c>
      <c r="L392" t="s">
        <v>28</v>
      </c>
      <c r="M392">
        <v>10</v>
      </c>
      <c r="N392" t="s">
        <v>21</v>
      </c>
      <c r="O392">
        <v>-8.4600000000000009</v>
      </c>
    </row>
    <row r="393" spans="1:15" x14ac:dyDescent="0.5">
      <c r="A393" t="s">
        <v>684</v>
      </c>
      <c r="B393" s="4">
        <v>45396.049305555556</v>
      </c>
      <c r="C393" t="s">
        <v>16</v>
      </c>
      <c r="D393" t="s">
        <v>38</v>
      </c>
      <c r="E393" t="s">
        <v>55</v>
      </c>
      <c r="G393">
        <v>1.8</v>
      </c>
      <c r="I393">
        <v>2049.44</v>
      </c>
      <c r="J393" s="2">
        <v>0.5</v>
      </c>
      <c r="K393" t="s">
        <v>19</v>
      </c>
      <c r="L393" t="s">
        <v>28</v>
      </c>
      <c r="M393">
        <v>8</v>
      </c>
      <c r="N393" t="s">
        <v>83</v>
      </c>
      <c r="O393">
        <v>116.7</v>
      </c>
    </row>
    <row r="394" spans="1:15" x14ac:dyDescent="0.5">
      <c r="A394" t="s">
        <v>685</v>
      </c>
      <c r="B394" s="1">
        <v>45450</v>
      </c>
      <c r="C394" t="s">
        <v>76</v>
      </c>
      <c r="D394" t="s">
        <v>146</v>
      </c>
      <c r="E394" t="s">
        <v>78</v>
      </c>
      <c r="F394">
        <v>48</v>
      </c>
      <c r="G394">
        <v>1.1000000000000001</v>
      </c>
      <c r="H394" t="s">
        <v>324</v>
      </c>
      <c r="I394">
        <v>583.4</v>
      </c>
      <c r="J394" s="2">
        <v>0.15</v>
      </c>
      <c r="K394" t="s">
        <v>103</v>
      </c>
      <c r="L394" t="s">
        <v>59</v>
      </c>
      <c r="M394">
        <v>1</v>
      </c>
      <c r="N394" t="s">
        <v>29</v>
      </c>
      <c r="O394">
        <v>-37.08</v>
      </c>
    </row>
    <row r="395" spans="1:15" x14ac:dyDescent="0.5">
      <c r="A395" t="s">
        <v>686</v>
      </c>
      <c r="C395" t="s">
        <v>76</v>
      </c>
      <c r="D395" t="s">
        <v>17</v>
      </c>
      <c r="E395" t="s">
        <v>687</v>
      </c>
      <c r="F395">
        <v>21</v>
      </c>
      <c r="G395">
        <v>1.8</v>
      </c>
      <c r="H395">
        <v>26</v>
      </c>
      <c r="I395">
        <v>2067.25</v>
      </c>
      <c r="J395" s="2">
        <v>0.5</v>
      </c>
      <c r="K395" t="s">
        <v>19</v>
      </c>
      <c r="L395" t="s">
        <v>42</v>
      </c>
      <c r="M395">
        <v>1</v>
      </c>
      <c r="N395" t="s">
        <v>43</v>
      </c>
      <c r="O395">
        <v>108.77</v>
      </c>
    </row>
    <row r="396" spans="1:15" x14ac:dyDescent="0.5">
      <c r="A396" t="s">
        <v>688</v>
      </c>
      <c r="B396" s="3">
        <v>45435</v>
      </c>
      <c r="C396" t="s">
        <v>122</v>
      </c>
      <c r="D396" t="s">
        <v>17</v>
      </c>
      <c r="E396" t="s">
        <v>18</v>
      </c>
      <c r="F396">
        <v>60</v>
      </c>
      <c r="G396">
        <v>3.9</v>
      </c>
      <c r="H396">
        <v>67</v>
      </c>
      <c r="I396">
        <v>229.77</v>
      </c>
      <c r="J396" s="2">
        <v>0.1</v>
      </c>
      <c r="K396" t="s">
        <v>19</v>
      </c>
      <c r="L396" t="s">
        <v>94</v>
      </c>
      <c r="M396">
        <v>10</v>
      </c>
      <c r="N396" t="s">
        <v>29</v>
      </c>
      <c r="O396">
        <v>109.45</v>
      </c>
    </row>
    <row r="397" spans="1:15" x14ac:dyDescent="0.5">
      <c r="A397" t="s">
        <v>689</v>
      </c>
      <c r="B397" s="3">
        <v>45357</v>
      </c>
      <c r="C397" t="s">
        <v>70</v>
      </c>
      <c r="D397" t="s">
        <v>146</v>
      </c>
      <c r="E397" t="s">
        <v>101</v>
      </c>
      <c r="F397">
        <v>61</v>
      </c>
      <c r="G397">
        <v>4.9000000000000004</v>
      </c>
      <c r="H397">
        <v>52</v>
      </c>
      <c r="I397">
        <v>465.53</v>
      </c>
      <c r="J397">
        <v>150</v>
      </c>
      <c r="K397" t="s">
        <v>103</v>
      </c>
      <c r="L397" t="s">
        <v>28</v>
      </c>
      <c r="M397">
        <v>4</v>
      </c>
      <c r="N397" t="s">
        <v>35</v>
      </c>
      <c r="O397">
        <v>196.93</v>
      </c>
    </row>
    <row r="398" spans="1:15" x14ac:dyDescent="0.5">
      <c r="A398" t="s">
        <v>690</v>
      </c>
      <c r="B398" t="s">
        <v>691</v>
      </c>
      <c r="C398" t="s">
        <v>159</v>
      </c>
      <c r="D398" t="s">
        <v>17</v>
      </c>
      <c r="E398" t="s">
        <v>97</v>
      </c>
      <c r="F398">
        <v>29</v>
      </c>
      <c r="G398">
        <v>2.2000000000000002</v>
      </c>
      <c r="H398">
        <v>44</v>
      </c>
      <c r="I398">
        <v>1357.59</v>
      </c>
      <c r="J398">
        <v>120</v>
      </c>
      <c r="K398" t="s">
        <v>73</v>
      </c>
      <c r="L398" t="s">
        <v>28</v>
      </c>
      <c r="M398">
        <v>1</v>
      </c>
      <c r="N398" t="s">
        <v>83</v>
      </c>
      <c r="O398">
        <v>-41.12</v>
      </c>
    </row>
    <row r="399" spans="1:15" x14ac:dyDescent="0.5">
      <c r="A399" t="s">
        <v>692</v>
      </c>
      <c r="B399" t="s">
        <v>274</v>
      </c>
      <c r="C399" t="s">
        <v>136</v>
      </c>
      <c r="D399" t="s">
        <v>54</v>
      </c>
      <c r="E399" t="s">
        <v>399</v>
      </c>
      <c r="G399">
        <v>2.7</v>
      </c>
      <c r="H399">
        <v>33</v>
      </c>
      <c r="I399">
        <v>1944.25</v>
      </c>
      <c r="J399" s="2">
        <v>0.2</v>
      </c>
      <c r="K399" t="s">
        <v>19</v>
      </c>
      <c r="L399" t="s">
        <v>28</v>
      </c>
      <c r="M399">
        <v>9</v>
      </c>
      <c r="N399" t="s">
        <v>576</v>
      </c>
      <c r="O399">
        <v>-70.28</v>
      </c>
    </row>
    <row r="400" spans="1:15" x14ac:dyDescent="0.5">
      <c r="A400" t="s">
        <v>693</v>
      </c>
      <c r="B400" s="3">
        <v>45293</v>
      </c>
      <c r="C400" t="s">
        <v>70</v>
      </c>
      <c r="D400" t="s">
        <v>93</v>
      </c>
      <c r="E400" t="s">
        <v>97</v>
      </c>
      <c r="F400">
        <v>19</v>
      </c>
      <c r="H400" t="s">
        <v>128</v>
      </c>
      <c r="I400">
        <v>253.25</v>
      </c>
      <c r="K400" t="s">
        <v>27</v>
      </c>
      <c r="L400" t="s">
        <v>28</v>
      </c>
      <c r="M400">
        <v>4</v>
      </c>
      <c r="N400" t="s">
        <v>51</v>
      </c>
      <c r="O400" t="s">
        <v>694</v>
      </c>
    </row>
    <row r="401" spans="1:15" x14ac:dyDescent="0.5">
      <c r="A401" t="s">
        <v>695</v>
      </c>
      <c r="B401" s="3">
        <v>45361</v>
      </c>
      <c r="C401" t="s">
        <v>81</v>
      </c>
      <c r="D401" t="s">
        <v>24</v>
      </c>
      <c r="E401" t="s">
        <v>55</v>
      </c>
      <c r="F401">
        <v>23</v>
      </c>
      <c r="G401">
        <v>3</v>
      </c>
      <c r="H401">
        <v>75</v>
      </c>
      <c r="I401">
        <v>2316.33</v>
      </c>
      <c r="J401">
        <v>120</v>
      </c>
      <c r="K401" t="s">
        <v>27</v>
      </c>
      <c r="L401" t="s">
        <v>28</v>
      </c>
      <c r="M401">
        <v>2</v>
      </c>
      <c r="N401" t="s">
        <v>35</v>
      </c>
      <c r="O401">
        <v>-50.57</v>
      </c>
    </row>
    <row r="402" spans="1:15" x14ac:dyDescent="0.5">
      <c r="A402" t="s">
        <v>696</v>
      </c>
      <c r="B402" t="s">
        <v>697</v>
      </c>
      <c r="C402" t="s">
        <v>396</v>
      </c>
      <c r="D402" t="s">
        <v>181</v>
      </c>
      <c r="F402">
        <v>45</v>
      </c>
      <c r="G402">
        <v>3.1</v>
      </c>
      <c r="H402">
        <v>31</v>
      </c>
      <c r="I402">
        <v>1233.19</v>
      </c>
      <c r="J402">
        <v>100</v>
      </c>
      <c r="K402" t="s">
        <v>19</v>
      </c>
      <c r="L402" t="s">
        <v>28</v>
      </c>
      <c r="M402">
        <v>3</v>
      </c>
      <c r="N402" t="s">
        <v>51</v>
      </c>
      <c r="O402">
        <v>50.54</v>
      </c>
    </row>
    <row r="403" spans="1:15" x14ac:dyDescent="0.5">
      <c r="A403" t="s">
        <v>698</v>
      </c>
      <c r="B403" s="3">
        <v>45362</v>
      </c>
      <c r="C403" t="s">
        <v>66</v>
      </c>
      <c r="D403" t="s">
        <v>88</v>
      </c>
      <c r="E403" t="s">
        <v>67</v>
      </c>
      <c r="G403">
        <v>1.4</v>
      </c>
      <c r="H403">
        <v>38</v>
      </c>
      <c r="I403">
        <v>363.56</v>
      </c>
      <c r="J403">
        <v>100</v>
      </c>
      <c r="K403" t="s">
        <v>68</v>
      </c>
      <c r="L403" t="s">
        <v>28</v>
      </c>
      <c r="M403">
        <v>4</v>
      </c>
      <c r="N403" t="s">
        <v>51</v>
      </c>
      <c r="O403">
        <v>90.05</v>
      </c>
    </row>
    <row r="404" spans="1:15" x14ac:dyDescent="0.5">
      <c r="A404" t="s">
        <v>699</v>
      </c>
      <c r="B404" t="s">
        <v>700</v>
      </c>
      <c r="C404" t="s">
        <v>463</v>
      </c>
      <c r="D404" t="s">
        <v>146</v>
      </c>
      <c r="E404" t="s">
        <v>97</v>
      </c>
      <c r="F404">
        <v>33</v>
      </c>
      <c r="G404">
        <v>3.1</v>
      </c>
      <c r="H404">
        <v>16</v>
      </c>
      <c r="J404">
        <v>0</v>
      </c>
      <c r="K404" t="s">
        <v>27</v>
      </c>
      <c r="L404" t="s">
        <v>59</v>
      </c>
      <c r="M404">
        <v>6</v>
      </c>
      <c r="N404" t="s">
        <v>21</v>
      </c>
      <c r="O404">
        <v>67.599999999999994</v>
      </c>
    </row>
    <row r="405" spans="1:15" x14ac:dyDescent="0.5">
      <c r="A405" t="s">
        <v>701</v>
      </c>
      <c r="B405" s="1">
        <v>45450</v>
      </c>
      <c r="C405" t="s">
        <v>136</v>
      </c>
      <c r="D405" t="s">
        <v>24</v>
      </c>
      <c r="E405" t="s">
        <v>18</v>
      </c>
      <c r="F405">
        <v>36</v>
      </c>
      <c r="G405">
        <v>4.5</v>
      </c>
      <c r="H405">
        <v>31</v>
      </c>
      <c r="J405" s="2">
        <v>0.1</v>
      </c>
      <c r="K405" t="s">
        <v>103</v>
      </c>
      <c r="L405" t="s">
        <v>28</v>
      </c>
      <c r="M405">
        <v>9</v>
      </c>
      <c r="N405" t="s">
        <v>83</v>
      </c>
      <c r="O405">
        <v>119.85</v>
      </c>
    </row>
    <row r="406" spans="1:15" x14ac:dyDescent="0.5">
      <c r="A406" t="s">
        <v>702</v>
      </c>
      <c r="B406" s="1">
        <v>45308</v>
      </c>
      <c r="C406" t="s">
        <v>76</v>
      </c>
      <c r="D406" t="s">
        <v>17</v>
      </c>
      <c r="E406" t="s">
        <v>33</v>
      </c>
      <c r="F406">
        <v>52</v>
      </c>
      <c r="G406">
        <v>3.6</v>
      </c>
      <c r="I406">
        <v>1585.09</v>
      </c>
      <c r="J406">
        <v>120</v>
      </c>
      <c r="K406" t="s">
        <v>19</v>
      </c>
      <c r="L406" t="s">
        <v>28</v>
      </c>
      <c r="M406">
        <v>10</v>
      </c>
      <c r="N406" t="s">
        <v>51</v>
      </c>
      <c r="O406">
        <v>157.12</v>
      </c>
    </row>
    <row r="407" spans="1:15" x14ac:dyDescent="0.5">
      <c r="A407" t="s">
        <v>703</v>
      </c>
      <c r="B407" t="s">
        <v>524</v>
      </c>
      <c r="D407" t="s">
        <v>88</v>
      </c>
      <c r="E407" t="s">
        <v>33</v>
      </c>
      <c r="F407">
        <v>19</v>
      </c>
      <c r="G407">
        <v>4.5</v>
      </c>
      <c r="H407">
        <v>64</v>
      </c>
      <c r="I407">
        <v>1026.6400000000001</v>
      </c>
      <c r="J407">
        <v>120</v>
      </c>
      <c r="L407" t="s">
        <v>28</v>
      </c>
      <c r="M407">
        <v>6</v>
      </c>
      <c r="N407" t="s">
        <v>83</v>
      </c>
      <c r="O407">
        <v>92.78</v>
      </c>
    </row>
    <row r="408" spans="1:15" x14ac:dyDescent="0.5">
      <c r="A408" t="s">
        <v>704</v>
      </c>
      <c r="B408" s="1">
        <v>45448</v>
      </c>
      <c r="C408" t="s">
        <v>66</v>
      </c>
      <c r="D408" t="s">
        <v>54</v>
      </c>
      <c r="E408" t="s">
        <v>25</v>
      </c>
      <c r="F408">
        <v>43</v>
      </c>
      <c r="G408">
        <v>1.3</v>
      </c>
      <c r="H408">
        <v>56</v>
      </c>
      <c r="I408">
        <v>564.11</v>
      </c>
      <c r="J408">
        <v>100</v>
      </c>
      <c r="K408" t="s">
        <v>68</v>
      </c>
      <c r="L408" t="s">
        <v>28</v>
      </c>
      <c r="M408">
        <v>4</v>
      </c>
      <c r="N408" t="s">
        <v>83</v>
      </c>
      <c r="O408">
        <v>42.12</v>
      </c>
    </row>
    <row r="409" spans="1:15" x14ac:dyDescent="0.5">
      <c r="A409" t="s">
        <v>705</v>
      </c>
      <c r="B409" t="s">
        <v>271</v>
      </c>
      <c r="C409" t="s">
        <v>46</v>
      </c>
      <c r="D409" t="s">
        <v>88</v>
      </c>
      <c r="E409" t="s">
        <v>101</v>
      </c>
      <c r="F409">
        <v>25</v>
      </c>
      <c r="G409">
        <v>4.5999999999999996</v>
      </c>
      <c r="H409">
        <v>24</v>
      </c>
      <c r="I409" t="s">
        <v>706</v>
      </c>
      <c r="J409">
        <v>100</v>
      </c>
      <c r="K409" t="s">
        <v>68</v>
      </c>
      <c r="L409" t="s">
        <v>28</v>
      </c>
      <c r="M409">
        <v>6</v>
      </c>
      <c r="N409" t="s">
        <v>35</v>
      </c>
      <c r="O409">
        <v>16.899999999999999</v>
      </c>
    </row>
    <row r="410" spans="1:15" x14ac:dyDescent="0.5">
      <c r="A410" t="s">
        <v>707</v>
      </c>
      <c r="B410" t="s">
        <v>478</v>
      </c>
      <c r="C410" t="s">
        <v>66</v>
      </c>
      <c r="D410" t="s">
        <v>58</v>
      </c>
      <c r="E410" t="s">
        <v>39</v>
      </c>
      <c r="F410">
        <v>59</v>
      </c>
      <c r="G410">
        <v>2.1</v>
      </c>
      <c r="H410">
        <v>26</v>
      </c>
      <c r="I410">
        <v>203.76</v>
      </c>
      <c r="J410">
        <v>120</v>
      </c>
      <c r="K410" t="s">
        <v>103</v>
      </c>
      <c r="L410" t="s">
        <v>28</v>
      </c>
      <c r="M410">
        <v>8</v>
      </c>
      <c r="N410" t="s">
        <v>21</v>
      </c>
      <c r="O410">
        <v>198.75</v>
      </c>
    </row>
    <row r="411" spans="1:15" x14ac:dyDescent="0.5">
      <c r="A411" t="s">
        <v>708</v>
      </c>
      <c r="B411" s="3">
        <v>45333</v>
      </c>
      <c r="C411" t="s">
        <v>37</v>
      </c>
      <c r="D411" t="s">
        <v>38</v>
      </c>
      <c r="E411" t="s">
        <v>67</v>
      </c>
      <c r="F411">
        <v>63</v>
      </c>
      <c r="G411">
        <v>2.2999999999999998</v>
      </c>
      <c r="H411">
        <v>50</v>
      </c>
      <c r="I411">
        <v>1408.41</v>
      </c>
      <c r="J411">
        <v>75</v>
      </c>
      <c r="K411" t="s">
        <v>73</v>
      </c>
      <c r="L411" t="s">
        <v>28</v>
      </c>
      <c r="M411">
        <v>2</v>
      </c>
      <c r="N411" t="s">
        <v>29</v>
      </c>
      <c r="O411">
        <v>-35.08</v>
      </c>
    </row>
    <row r="412" spans="1:15" x14ac:dyDescent="0.5">
      <c r="A412" t="s">
        <v>709</v>
      </c>
      <c r="B412" s="4">
        <v>45370.529166666667</v>
      </c>
      <c r="C412" t="s">
        <v>122</v>
      </c>
      <c r="D412" t="s">
        <v>93</v>
      </c>
      <c r="E412" t="s">
        <v>39</v>
      </c>
      <c r="F412">
        <v>45</v>
      </c>
      <c r="G412">
        <v>1.7</v>
      </c>
      <c r="H412" t="s">
        <v>575</v>
      </c>
      <c r="I412">
        <v>796.78</v>
      </c>
      <c r="J412">
        <v>100</v>
      </c>
      <c r="K412" t="s">
        <v>103</v>
      </c>
      <c r="L412" t="s">
        <v>42</v>
      </c>
      <c r="M412">
        <v>5</v>
      </c>
      <c r="N412" t="s">
        <v>29</v>
      </c>
      <c r="O412">
        <v>-37.19</v>
      </c>
    </row>
    <row r="413" spans="1:15" x14ac:dyDescent="0.5">
      <c r="A413" t="s">
        <v>710</v>
      </c>
      <c r="B413" s="1">
        <v>45386</v>
      </c>
      <c r="C413" t="s">
        <v>16</v>
      </c>
      <c r="D413" t="s">
        <v>93</v>
      </c>
      <c r="E413" t="s">
        <v>25</v>
      </c>
      <c r="F413">
        <v>57</v>
      </c>
      <c r="G413">
        <v>2.5</v>
      </c>
      <c r="I413">
        <v>333.85</v>
      </c>
      <c r="J413" s="2">
        <v>0.15</v>
      </c>
      <c r="K413" t="s">
        <v>64</v>
      </c>
      <c r="L413" t="s">
        <v>42</v>
      </c>
      <c r="M413">
        <v>8</v>
      </c>
      <c r="N413" t="s">
        <v>35</v>
      </c>
      <c r="O413">
        <v>78.430000000000007</v>
      </c>
    </row>
    <row r="414" spans="1:15" x14ac:dyDescent="0.5">
      <c r="A414" t="s">
        <v>711</v>
      </c>
      <c r="B414" s="1">
        <v>45541</v>
      </c>
      <c r="C414" t="s">
        <v>620</v>
      </c>
      <c r="D414" t="s">
        <v>49</v>
      </c>
      <c r="E414" t="s">
        <v>67</v>
      </c>
      <c r="F414">
        <v>21</v>
      </c>
      <c r="G414">
        <v>1.7</v>
      </c>
      <c r="H414">
        <v>30</v>
      </c>
      <c r="I414">
        <v>1656.1</v>
      </c>
      <c r="J414">
        <v>50</v>
      </c>
      <c r="K414" t="s">
        <v>68</v>
      </c>
      <c r="L414" t="s">
        <v>28</v>
      </c>
      <c r="M414">
        <v>1</v>
      </c>
      <c r="N414" t="s">
        <v>83</v>
      </c>
      <c r="O414">
        <v>235.21</v>
      </c>
    </row>
    <row r="415" spans="1:15" x14ac:dyDescent="0.5">
      <c r="A415" t="s">
        <v>712</v>
      </c>
      <c r="B415" s="4">
        <v>45335.143055555556</v>
      </c>
      <c r="C415" t="s">
        <v>76</v>
      </c>
      <c r="D415" t="s">
        <v>88</v>
      </c>
      <c r="E415" t="s">
        <v>61</v>
      </c>
      <c r="F415">
        <v>31</v>
      </c>
      <c r="G415">
        <v>4.8</v>
      </c>
      <c r="H415">
        <v>30</v>
      </c>
      <c r="I415">
        <v>1284.07</v>
      </c>
      <c r="J415">
        <v>100</v>
      </c>
      <c r="K415" t="s">
        <v>68</v>
      </c>
      <c r="L415" t="s">
        <v>28</v>
      </c>
      <c r="M415">
        <v>8</v>
      </c>
      <c r="N415" t="s">
        <v>51</v>
      </c>
      <c r="O415">
        <v>214.78</v>
      </c>
    </row>
    <row r="416" spans="1:15" x14ac:dyDescent="0.5">
      <c r="A416" t="s">
        <v>713</v>
      </c>
      <c r="B416" s="1">
        <v>45292</v>
      </c>
      <c r="C416" t="s">
        <v>342</v>
      </c>
      <c r="D416" t="s">
        <v>146</v>
      </c>
      <c r="E416" t="s">
        <v>97</v>
      </c>
      <c r="F416">
        <v>53</v>
      </c>
      <c r="G416">
        <v>3.1</v>
      </c>
      <c r="H416" t="s">
        <v>714</v>
      </c>
      <c r="I416">
        <v>2053.3200000000002</v>
      </c>
      <c r="K416" t="s">
        <v>73</v>
      </c>
      <c r="L416" t="s">
        <v>635</v>
      </c>
      <c r="M416">
        <v>9</v>
      </c>
      <c r="N416" t="s">
        <v>43</v>
      </c>
      <c r="O416">
        <v>211.99</v>
      </c>
    </row>
    <row r="417" spans="1:15" x14ac:dyDescent="0.5">
      <c r="A417" t="s">
        <v>715</v>
      </c>
      <c r="B417" s="1">
        <v>45381</v>
      </c>
      <c r="C417" t="s">
        <v>31</v>
      </c>
      <c r="D417" t="s">
        <v>58</v>
      </c>
      <c r="E417" t="s">
        <v>39</v>
      </c>
      <c r="F417">
        <v>59</v>
      </c>
      <c r="G417">
        <v>3.3</v>
      </c>
      <c r="H417">
        <v>56</v>
      </c>
      <c r="I417" t="s">
        <v>716</v>
      </c>
      <c r="J417">
        <v>50</v>
      </c>
      <c r="K417" t="s">
        <v>68</v>
      </c>
      <c r="M417">
        <v>10</v>
      </c>
      <c r="N417" t="s">
        <v>35</v>
      </c>
      <c r="O417">
        <v>113.67</v>
      </c>
    </row>
    <row r="418" spans="1:15" x14ac:dyDescent="0.5">
      <c r="B418" t="s">
        <v>717</v>
      </c>
      <c r="C418" t="s">
        <v>112</v>
      </c>
      <c r="D418" t="s">
        <v>17</v>
      </c>
      <c r="E418" t="s">
        <v>78</v>
      </c>
      <c r="F418">
        <v>58</v>
      </c>
      <c r="G418">
        <v>1.6</v>
      </c>
      <c r="H418" t="s">
        <v>318</v>
      </c>
      <c r="I418">
        <v>2182.8200000000002</v>
      </c>
      <c r="J418">
        <v>100</v>
      </c>
      <c r="K418" t="s">
        <v>41</v>
      </c>
      <c r="L418" t="s">
        <v>28</v>
      </c>
      <c r="M418">
        <v>3</v>
      </c>
      <c r="N418" t="s">
        <v>21</v>
      </c>
      <c r="O418">
        <v>67.34</v>
      </c>
    </row>
    <row r="419" spans="1:15" x14ac:dyDescent="0.5">
      <c r="A419" t="s">
        <v>718</v>
      </c>
      <c r="B419" s="3">
        <v>45486</v>
      </c>
      <c r="C419" t="s">
        <v>66</v>
      </c>
      <c r="D419" t="s">
        <v>58</v>
      </c>
      <c r="E419" t="s">
        <v>33</v>
      </c>
      <c r="F419">
        <v>24</v>
      </c>
      <c r="G419">
        <v>4.0999999999999996</v>
      </c>
      <c r="H419" t="s">
        <v>719</v>
      </c>
      <c r="I419">
        <v>796.99</v>
      </c>
      <c r="J419">
        <v>150</v>
      </c>
      <c r="K419" t="s">
        <v>103</v>
      </c>
      <c r="L419" t="s">
        <v>59</v>
      </c>
      <c r="M419">
        <v>3</v>
      </c>
      <c r="N419" t="s">
        <v>21</v>
      </c>
      <c r="O419">
        <v>151.21</v>
      </c>
    </row>
    <row r="420" spans="1:15" x14ac:dyDescent="0.5">
      <c r="A420" t="s">
        <v>720</v>
      </c>
      <c r="C420" t="s">
        <v>66</v>
      </c>
      <c r="D420" t="s">
        <v>653</v>
      </c>
      <c r="E420" t="s">
        <v>97</v>
      </c>
      <c r="F420">
        <v>40</v>
      </c>
      <c r="G420">
        <v>3.2</v>
      </c>
      <c r="H420">
        <v>31</v>
      </c>
      <c r="J420">
        <v>150</v>
      </c>
      <c r="L420" t="s">
        <v>28</v>
      </c>
      <c r="M420">
        <v>3</v>
      </c>
      <c r="N420" t="s">
        <v>43</v>
      </c>
      <c r="O420">
        <v>-60.1</v>
      </c>
    </row>
    <row r="421" spans="1:15" x14ac:dyDescent="0.5">
      <c r="A421" t="s">
        <v>721</v>
      </c>
      <c r="B421" t="s">
        <v>722</v>
      </c>
      <c r="D421" t="s">
        <v>58</v>
      </c>
      <c r="E421" t="s">
        <v>97</v>
      </c>
      <c r="F421">
        <v>61</v>
      </c>
      <c r="G421">
        <v>1</v>
      </c>
      <c r="H421">
        <v>51</v>
      </c>
      <c r="I421" t="s">
        <v>723</v>
      </c>
      <c r="K421" t="s">
        <v>73</v>
      </c>
      <c r="L421" t="s">
        <v>28</v>
      </c>
      <c r="M421">
        <v>2</v>
      </c>
      <c r="N421" t="s">
        <v>83</v>
      </c>
      <c r="O421">
        <v>249.35</v>
      </c>
    </row>
    <row r="422" spans="1:15" x14ac:dyDescent="0.5">
      <c r="A422" t="s">
        <v>724</v>
      </c>
      <c r="B422" s="1">
        <v>45385</v>
      </c>
      <c r="C422" t="s">
        <v>199</v>
      </c>
      <c r="D422" t="s">
        <v>17</v>
      </c>
      <c r="E422" t="s">
        <v>18</v>
      </c>
      <c r="F422">
        <v>44</v>
      </c>
      <c r="G422">
        <v>1.4</v>
      </c>
      <c r="H422">
        <v>26</v>
      </c>
      <c r="I422">
        <v>1283.78</v>
      </c>
      <c r="K422" t="s">
        <v>19</v>
      </c>
      <c r="L422" t="s">
        <v>28</v>
      </c>
      <c r="M422">
        <v>2</v>
      </c>
      <c r="N422" t="s">
        <v>83</v>
      </c>
    </row>
    <row r="423" spans="1:15" x14ac:dyDescent="0.5">
      <c r="A423" t="s">
        <v>725</v>
      </c>
      <c r="B423" t="s">
        <v>298</v>
      </c>
      <c r="C423" t="s">
        <v>46</v>
      </c>
      <c r="D423" t="s">
        <v>24</v>
      </c>
      <c r="F423">
        <v>29</v>
      </c>
      <c r="G423">
        <v>4.4000000000000004</v>
      </c>
      <c r="H423">
        <v>72</v>
      </c>
      <c r="I423">
        <v>1133.6600000000001</v>
      </c>
      <c r="J423" s="2">
        <v>0.1</v>
      </c>
      <c r="K423" t="s">
        <v>616</v>
      </c>
      <c r="L423" t="s">
        <v>42</v>
      </c>
      <c r="M423">
        <v>10</v>
      </c>
      <c r="N423" t="s">
        <v>43</v>
      </c>
      <c r="O423">
        <v>229.78</v>
      </c>
    </row>
    <row r="424" spans="1:15" x14ac:dyDescent="0.5">
      <c r="A424" t="s">
        <v>726</v>
      </c>
      <c r="B424" s="1">
        <v>45403</v>
      </c>
      <c r="C424" t="s">
        <v>122</v>
      </c>
      <c r="E424" t="s">
        <v>101</v>
      </c>
      <c r="F424">
        <v>55</v>
      </c>
      <c r="H424" t="s">
        <v>318</v>
      </c>
      <c r="I424">
        <v>240.37</v>
      </c>
      <c r="J424">
        <v>0</v>
      </c>
      <c r="L424" t="s">
        <v>59</v>
      </c>
      <c r="M424">
        <v>2</v>
      </c>
      <c r="N424" t="s">
        <v>29</v>
      </c>
      <c r="O424">
        <v>153.47999999999999</v>
      </c>
    </row>
    <row r="425" spans="1:15" x14ac:dyDescent="0.5">
      <c r="A425" t="s">
        <v>727</v>
      </c>
      <c r="B425" t="s">
        <v>608</v>
      </c>
      <c r="D425" t="s">
        <v>653</v>
      </c>
      <c r="E425" t="s">
        <v>78</v>
      </c>
      <c r="F425">
        <v>43</v>
      </c>
      <c r="G425">
        <v>3.1</v>
      </c>
      <c r="H425">
        <v>43</v>
      </c>
      <c r="I425">
        <v>1662.3</v>
      </c>
      <c r="J425">
        <v>150</v>
      </c>
      <c r="K425" t="s">
        <v>19</v>
      </c>
      <c r="L425" t="s">
        <v>59</v>
      </c>
      <c r="M425">
        <v>3</v>
      </c>
      <c r="N425" t="s">
        <v>35</v>
      </c>
      <c r="O425">
        <v>80.06</v>
      </c>
    </row>
    <row r="426" spans="1:15" x14ac:dyDescent="0.5">
      <c r="A426" t="s">
        <v>728</v>
      </c>
      <c r="B426" t="s">
        <v>598</v>
      </c>
      <c r="C426" t="s">
        <v>66</v>
      </c>
      <c r="D426" t="s">
        <v>146</v>
      </c>
      <c r="E426" t="s">
        <v>39</v>
      </c>
      <c r="F426">
        <v>60</v>
      </c>
      <c r="G426">
        <v>1.9</v>
      </c>
      <c r="H426" t="s">
        <v>729</v>
      </c>
      <c r="I426">
        <v>2071.16</v>
      </c>
      <c r="J426" s="2">
        <v>0.1</v>
      </c>
      <c r="K426" t="s">
        <v>41</v>
      </c>
      <c r="L426" t="s">
        <v>28</v>
      </c>
      <c r="M426">
        <v>9</v>
      </c>
      <c r="N426" t="s">
        <v>21</v>
      </c>
      <c r="O426">
        <v>167.81</v>
      </c>
    </row>
    <row r="427" spans="1:15" x14ac:dyDescent="0.5">
      <c r="A427" t="s">
        <v>730</v>
      </c>
      <c r="B427" t="s">
        <v>731</v>
      </c>
      <c r="C427" t="s">
        <v>435</v>
      </c>
      <c r="D427" t="s">
        <v>17</v>
      </c>
      <c r="E427" t="s">
        <v>101</v>
      </c>
      <c r="F427">
        <v>52</v>
      </c>
      <c r="G427">
        <v>4.5999999999999996</v>
      </c>
      <c r="H427">
        <v>32</v>
      </c>
      <c r="I427" t="s">
        <v>732</v>
      </c>
      <c r="J427">
        <v>75</v>
      </c>
      <c r="K427" t="s">
        <v>103</v>
      </c>
      <c r="L427" t="s">
        <v>28</v>
      </c>
      <c r="M427">
        <v>9</v>
      </c>
      <c r="N427" t="s">
        <v>155</v>
      </c>
      <c r="O427">
        <v>98.23</v>
      </c>
    </row>
    <row r="428" spans="1:15" x14ac:dyDescent="0.5">
      <c r="A428" t="s">
        <v>733</v>
      </c>
      <c r="B428" t="s">
        <v>308</v>
      </c>
      <c r="C428" t="s">
        <v>16</v>
      </c>
      <c r="D428" t="s">
        <v>49</v>
      </c>
      <c r="E428" t="s">
        <v>101</v>
      </c>
      <c r="F428">
        <v>27</v>
      </c>
      <c r="G428">
        <v>4</v>
      </c>
      <c r="H428">
        <v>76</v>
      </c>
      <c r="I428" t="s">
        <v>734</v>
      </c>
      <c r="K428" t="s">
        <v>73</v>
      </c>
      <c r="L428" t="s">
        <v>28</v>
      </c>
      <c r="M428">
        <v>1</v>
      </c>
      <c r="N428" t="s">
        <v>43</v>
      </c>
      <c r="O428">
        <v>-21.58</v>
      </c>
    </row>
    <row r="429" spans="1:15" x14ac:dyDescent="0.5">
      <c r="A429" t="s">
        <v>735</v>
      </c>
      <c r="B429" t="s">
        <v>736</v>
      </c>
      <c r="C429" t="s">
        <v>70</v>
      </c>
      <c r="D429" t="s">
        <v>71</v>
      </c>
      <c r="E429" t="s">
        <v>55</v>
      </c>
      <c r="F429">
        <v>33</v>
      </c>
      <c r="G429">
        <v>4.7</v>
      </c>
      <c r="H429">
        <v>49</v>
      </c>
      <c r="I429">
        <v>1198.28</v>
      </c>
      <c r="K429" t="s">
        <v>19</v>
      </c>
      <c r="L429" t="s">
        <v>42</v>
      </c>
      <c r="M429">
        <v>7</v>
      </c>
      <c r="N429" t="s">
        <v>83</v>
      </c>
      <c r="O429">
        <v>85.84</v>
      </c>
    </row>
    <row r="430" spans="1:15" x14ac:dyDescent="0.5">
      <c r="A430" t="s">
        <v>737</v>
      </c>
      <c r="B430" t="s">
        <v>738</v>
      </c>
      <c r="C430" t="s">
        <v>472</v>
      </c>
      <c r="D430" t="s">
        <v>54</v>
      </c>
      <c r="E430" t="s">
        <v>18</v>
      </c>
      <c r="F430">
        <v>22</v>
      </c>
      <c r="G430">
        <v>1.3</v>
      </c>
      <c r="H430">
        <v>29</v>
      </c>
      <c r="I430">
        <v>1515.87</v>
      </c>
      <c r="J430">
        <v>75</v>
      </c>
      <c r="K430" t="s">
        <v>27</v>
      </c>
      <c r="L430" t="s">
        <v>42</v>
      </c>
      <c r="M430">
        <v>7</v>
      </c>
      <c r="N430" t="s">
        <v>21</v>
      </c>
      <c r="O430">
        <v>-65.55</v>
      </c>
    </row>
    <row r="431" spans="1:15" x14ac:dyDescent="0.5">
      <c r="A431" t="s">
        <v>739</v>
      </c>
      <c r="B431" s="3">
        <v>45377</v>
      </c>
      <c r="C431" t="s">
        <v>76</v>
      </c>
      <c r="D431" t="s">
        <v>93</v>
      </c>
      <c r="E431" t="s">
        <v>25</v>
      </c>
      <c r="F431">
        <v>22</v>
      </c>
      <c r="G431">
        <v>4</v>
      </c>
      <c r="H431">
        <v>23</v>
      </c>
      <c r="I431" t="s">
        <v>740</v>
      </c>
      <c r="J431" s="2">
        <v>0.6</v>
      </c>
      <c r="K431" t="s">
        <v>103</v>
      </c>
      <c r="L431" t="s">
        <v>28</v>
      </c>
      <c r="M431">
        <v>2</v>
      </c>
      <c r="N431" t="s">
        <v>83</v>
      </c>
      <c r="O431">
        <v>90.6</v>
      </c>
    </row>
    <row r="432" spans="1:15" x14ac:dyDescent="0.5">
      <c r="A432" t="s">
        <v>741</v>
      </c>
      <c r="B432" s="3">
        <v>45451</v>
      </c>
      <c r="C432" t="s">
        <v>112</v>
      </c>
      <c r="D432" t="s">
        <v>146</v>
      </c>
      <c r="E432" t="s">
        <v>55</v>
      </c>
      <c r="F432">
        <v>54</v>
      </c>
      <c r="G432">
        <v>4.5999999999999996</v>
      </c>
      <c r="H432" t="s">
        <v>742</v>
      </c>
      <c r="I432">
        <v>1520.28</v>
      </c>
      <c r="J432">
        <v>0</v>
      </c>
      <c r="K432" t="s">
        <v>19</v>
      </c>
      <c r="L432" t="s">
        <v>42</v>
      </c>
      <c r="M432">
        <v>6</v>
      </c>
      <c r="N432" t="s">
        <v>35</v>
      </c>
      <c r="O432">
        <v>149.27000000000001</v>
      </c>
    </row>
    <row r="433" spans="1:15" x14ac:dyDescent="0.5">
      <c r="A433" t="s">
        <v>743</v>
      </c>
      <c r="B433" s="1">
        <v>45466</v>
      </c>
      <c r="C433" t="s">
        <v>122</v>
      </c>
      <c r="D433" t="s">
        <v>38</v>
      </c>
      <c r="E433" t="s">
        <v>97</v>
      </c>
      <c r="F433">
        <v>49</v>
      </c>
      <c r="I433">
        <v>1681.43</v>
      </c>
      <c r="J433">
        <v>75</v>
      </c>
      <c r="K433" t="s">
        <v>103</v>
      </c>
      <c r="L433" t="s">
        <v>28</v>
      </c>
      <c r="M433">
        <v>9</v>
      </c>
      <c r="N433" t="s">
        <v>51</v>
      </c>
      <c r="O433">
        <v>-63.5</v>
      </c>
    </row>
    <row r="434" spans="1:15" x14ac:dyDescent="0.5">
      <c r="A434" t="s">
        <v>744</v>
      </c>
      <c r="B434" t="s">
        <v>279</v>
      </c>
      <c r="C434" t="s">
        <v>76</v>
      </c>
      <c r="D434" t="s">
        <v>24</v>
      </c>
      <c r="E434" t="s">
        <v>25</v>
      </c>
      <c r="F434">
        <v>33</v>
      </c>
      <c r="G434">
        <v>2.5</v>
      </c>
      <c r="H434">
        <v>63</v>
      </c>
      <c r="I434">
        <v>1984.2</v>
      </c>
      <c r="J434" s="2">
        <v>0.5</v>
      </c>
      <c r="K434" t="s">
        <v>73</v>
      </c>
      <c r="L434" t="s">
        <v>59</v>
      </c>
      <c r="M434">
        <v>1</v>
      </c>
      <c r="N434" t="s">
        <v>29</v>
      </c>
      <c r="O434">
        <v>202.34</v>
      </c>
    </row>
    <row r="435" spans="1:15" x14ac:dyDescent="0.5">
      <c r="A435" t="s">
        <v>745</v>
      </c>
      <c r="B435" t="s">
        <v>598</v>
      </c>
      <c r="C435" t="s">
        <v>81</v>
      </c>
      <c r="D435" t="s">
        <v>653</v>
      </c>
      <c r="E435" t="s">
        <v>97</v>
      </c>
      <c r="F435">
        <v>50</v>
      </c>
      <c r="G435">
        <v>2</v>
      </c>
      <c r="H435">
        <v>64</v>
      </c>
      <c r="J435">
        <v>120</v>
      </c>
      <c r="K435" t="s">
        <v>19</v>
      </c>
      <c r="L435" t="s">
        <v>28</v>
      </c>
      <c r="M435">
        <v>2</v>
      </c>
      <c r="N435" t="s">
        <v>35</v>
      </c>
      <c r="O435">
        <v>38.26</v>
      </c>
    </row>
    <row r="436" spans="1:15" x14ac:dyDescent="0.5">
      <c r="A436" t="s">
        <v>746</v>
      </c>
      <c r="B436" s="1">
        <v>45361</v>
      </c>
      <c r="C436" t="s">
        <v>31</v>
      </c>
      <c r="D436" t="s">
        <v>93</v>
      </c>
      <c r="E436" t="s">
        <v>25</v>
      </c>
      <c r="F436">
        <v>32</v>
      </c>
      <c r="G436">
        <v>3.8</v>
      </c>
      <c r="H436">
        <v>21</v>
      </c>
      <c r="I436">
        <v>1217.67</v>
      </c>
      <c r="J436">
        <v>50</v>
      </c>
      <c r="K436" t="s">
        <v>73</v>
      </c>
      <c r="L436" t="s">
        <v>42</v>
      </c>
      <c r="M436">
        <v>9</v>
      </c>
      <c r="N436" t="s">
        <v>83</v>
      </c>
      <c r="O436">
        <v>168.3</v>
      </c>
    </row>
    <row r="437" spans="1:15" x14ac:dyDescent="0.5">
      <c r="A437" t="s">
        <v>747</v>
      </c>
      <c r="B437" t="s">
        <v>748</v>
      </c>
      <c r="C437" t="s">
        <v>76</v>
      </c>
      <c r="D437" t="s">
        <v>93</v>
      </c>
      <c r="E437" t="s">
        <v>67</v>
      </c>
      <c r="F437">
        <v>49</v>
      </c>
      <c r="G437">
        <v>3.5</v>
      </c>
      <c r="H437">
        <v>25</v>
      </c>
      <c r="I437">
        <v>1192.79</v>
      </c>
      <c r="J437" s="2">
        <v>0.15</v>
      </c>
      <c r="K437" t="s">
        <v>68</v>
      </c>
      <c r="L437" t="s">
        <v>20</v>
      </c>
      <c r="M437">
        <v>2</v>
      </c>
      <c r="N437" t="s">
        <v>98</v>
      </c>
      <c r="O437">
        <v>99.16</v>
      </c>
    </row>
    <row r="438" spans="1:15" x14ac:dyDescent="0.5">
      <c r="A438" t="s">
        <v>749</v>
      </c>
      <c r="B438" s="1">
        <v>45355</v>
      </c>
      <c r="C438" t="s">
        <v>604</v>
      </c>
      <c r="D438" t="s">
        <v>58</v>
      </c>
      <c r="E438" t="s">
        <v>101</v>
      </c>
      <c r="F438">
        <v>18</v>
      </c>
      <c r="H438">
        <v>28</v>
      </c>
      <c r="I438">
        <v>1344.99</v>
      </c>
      <c r="J438" s="2">
        <v>0.5</v>
      </c>
      <c r="K438" t="s">
        <v>103</v>
      </c>
      <c r="L438" t="s">
        <v>59</v>
      </c>
      <c r="M438">
        <v>6</v>
      </c>
      <c r="N438" t="s">
        <v>83</v>
      </c>
      <c r="O438">
        <v>95.47</v>
      </c>
    </row>
    <row r="439" spans="1:15" x14ac:dyDescent="0.5">
      <c r="A439" t="s">
        <v>750</v>
      </c>
      <c r="B439" s="4">
        <v>45413.856944444444</v>
      </c>
      <c r="C439" t="s">
        <v>233</v>
      </c>
      <c r="D439" t="s">
        <v>38</v>
      </c>
      <c r="E439" t="s">
        <v>67</v>
      </c>
      <c r="F439">
        <v>42</v>
      </c>
      <c r="G439">
        <v>3.3</v>
      </c>
      <c r="H439">
        <v>80</v>
      </c>
      <c r="I439">
        <v>1967.86</v>
      </c>
      <c r="J439">
        <v>120</v>
      </c>
      <c r="K439" t="s">
        <v>19</v>
      </c>
      <c r="L439" t="s">
        <v>42</v>
      </c>
      <c r="M439">
        <v>3</v>
      </c>
      <c r="N439" t="s">
        <v>576</v>
      </c>
      <c r="O439">
        <v>-50.45</v>
      </c>
    </row>
    <row r="440" spans="1:15" x14ac:dyDescent="0.5">
      <c r="A440" t="s">
        <v>751</v>
      </c>
      <c r="B440" s="1">
        <v>45389</v>
      </c>
      <c r="C440" t="s">
        <v>136</v>
      </c>
      <c r="D440" t="s">
        <v>49</v>
      </c>
      <c r="E440" t="s">
        <v>33</v>
      </c>
      <c r="F440">
        <v>43</v>
      </c>
      <c r="G440">
        <v>1.6</v>
      </c>
      <c r="H440">
        <v>41</v>
      </c>
      <c r="I440">
        <v>2460.5</v>
      </c>
      <c r="J440">
        <v>0</v>
      </c>
      <c r="K440" t="s">
        <v>27</v>
      </c>
      <c r="L440" t="s">
        <v>28</v>
      </c>
      <c r="M440">
        <v>3</v>
      </c>
      <c r="O440">
        <v>148.25</v>
      </c>
    </row>
    <row r="441" spans="1:15" x14ac:dyDescent="0.5">
      <c r="A441" t="s">
        <v>752</v>
      </c>
      <c r="B441" s="3">
        <v>45299</v>
      </c>
      <c r="C441" t="s">
        <v>122</v>
      </c>
      <c r="D441" t="s">
        <v>71</v>
      </c>
      <c r="E441" t="s">
        <v>25</v>
      </c>
      <c r="F441">
        <v>33</v>
      </c>
      <c r="G441">
        <v>2.2000000000000002</v>
      </c>
      <c r="H441">
        <v>46</v>
      </c>
      <c r="I441" t="s">
        <v>753</v>
      </c>
      <c r="J441">
        <v>0</v>
      </c>
      <c r="K441" t="s">
        <v>41</v>
      </c>
      <c r="L441" t="s">
        <v>28</v>
      </c>
      <c r="M441">
        <v>10</v>
      </c>
      <c r="N441" t="s">
        <v>83</v>
      </c>
      <c r="O441">
        <v>-68.489999999999995</v>
      </c>
    </row>
    <row r="442" spans="1:15" x14ac:dyDescent="0.5">
      <c r="A442" t="s">
        <v>754</v>
      </c>
      <c r="C442" t="s">
        <v>23</v>
      </c>
      <c r="D442" t="s">
        <v>284</v>
      </c>
      <c r="E442" t="s">
        <v>55</v>
      </c>
      <c r="F442">
        <v>18</v>
      </c>
      <c r="G442">
        <v>2.6</v>
      </c>
      <c r="H442">
        <v>26</v>
      </c>
      <c r="I442">
        <v>1807.32</v>
      </c>
      <c r="J442">
        <v>50</v>
      </c>
      <c r="L442" t="s">
        <v>28</v>
      </c>
      <c r="M442">
        <v>10</v>
      </c>
      <c r="N442" t="s">
        <v>83</v>
      </c>
    </row>
    <row r="443" spans="1:15" x14ac:dyDescent="0.5">
      <c r="A443" t="s">
        <v>755</v>
      </c>
      <c r="B443" t="s">
        <v>756</v>
      </c>
      <c r="C443" t="s">
        <v>23</v>
      </c>
      <c r="D443" t="s">
        <v>71</v>
      </c>
      <c r="E443" t="s">
        <v>18</v>
      </c>
      <c r="F443">
        <v>54</v>
      </c>
      <c r="G443">
        <v>3.1</v>
      </c>
      <c r="H443">
        <v>77</v>
      </c>
      <c r="I443" t="s">
        <v>757</v>
      </c>
      <c r="K443" t="s">
        <v>103</v>
      </c>
      <c r="L443" t="s">
        <v>28</v>
      </c>
      <c r="M443">
        <v>4</v>
      </c>
      <c r="O443">
        <v>-51.3</v>
      </c>
    </row>
    <row r="444" spans="1:15" x14ac:dyDescent="0.5">
      <c r="A444" t="s">
        <v>758</v>
      </c>
      <c r="B444" t="s">
        <v>759</v>
      </c>
      <c r="C444" t="s">
        <v>283</v>
      </c>
      <c r="D444" t="s">
        <v>126</v>
      </c>
      <c r="E444" t="s">
        <v>78</v>
      </c>
      <c r="F444">
        <v>39</v>
      </c>
      <c r="G444">
        <v>4.9000000000000004</v>
      </c>
      <c r="H444" t="s">
        <v>760</v>
      </c>
      <c r="I444">
        <v>1207.47</v>
      </c>
      <c r="J444">
        <v>50</v>
      </c>
      <c r="K444" t="s">
        <v>41</v>
      </c>
      <c r="L444" t="s">
        <v>28</v>
      </c>
      <c r="M444">
        <v>3</v>
      </c>
      <c r="N444" t="s">
        <v>83</v>
      </c>
      <c r="O444">
        <v>52.93</v>
      </c>
    </row>
    <row r="445" spans="1:15" x14ac:dyDescent="0.5">
      <c r="A445" t="s">
        <v>761</v>
      </c>
      <c r="B445" s="1">
        <v>45357</v>
      </c>
      <c r="C445" t="s">
        <v>468</v>
      </c>
      <c r="D445" t="s">
        <v>54</v>
      </c>
      <c r="E445" t="s">
        <v>97</v>
      </c>
      <c r="F445">
        <v>20</v>
      </c>
      <c r="G445">
        <v>4.0999999999999996</v>
      </c>
      <c r="H445" t="s">
        <v>147</v>
      </c>
      <c r="I445" t="s">
        <v>762</v>
      </c>
      <c r="J445">
        <v>100</v>
      </c>
      <c r="K445" t="s">
        <v>193</v>
      </c>
      <c r="L445" t="s">
        <v>28</v>
      </c>
      <c r="M445">
        <v>6</v>
      </c>
      <c r="N445" t="s">
        <v>43</v>
      </c>
      <c r="O445">
        <v>-23.35</v>
      </c>
    </row>
    <row r="446" spans="1:15" x14ac:dyDescent="0.5">
      <c r="A446" t="s">
        <v>763</v>
      </c>
      <c r="B446" s="1">
        <v>45337</v>
      </c>
      <c r="C446" t="s">
        <v>37</v>
      </c>
      <c r="D446" t="s">
        <v>17</v>
      </c>
      <c r="E446" t="s">
        <v>18</v>
      </c>
      <c r="F446">
        <v>26</v>
      </c>
      <c r="G446">
        <v>1.3</v>
      </c>
      <c r="H446">
        <v>62</v>
      </c>
      <c r="I446" t="s">
        <v>764</v>
      </c>
      <c r="J446">
        <v>120</v>
      </c>
      <c r="K446" t="s">
        <v>27</v>
      </c>
      <c r="L446" t="s">
        <v>565</v>
      </c>
      <c r="M446">
        <v>2</v>
      </c>
      <c r="N446" t="s">
        <v>29</v>
      </c>
      <c r="O446">
        <v>-53.31</v>
      </c>
    </row>
    <row r="447" spans="1:15" x14ac:dyDescent="0.5">
      <c r="A447" t="s">
        <v>765</v>
      </c>
      <c r="B447" s="3">
        <v>45404</v>
      </c>
      <c r="C447" t="s">
        <v>435</v>
      </c>
      <c r="D447" t="s">
        <v>71</v>
      </c>
      <c r="E447" t="s">
        <v>67</v>
      </c>
      <c r="F447">
        <v>50</v>
      </c>
      <c r="G447">
        <v>2.2000000000000002</v>
      </c>
      <c r="H447">
        <v>52</v>
      </c>
      <c r="I447">
        <v>660.27</v>
      </c>
      <c r="J447">
        <v>120</v>
      </c>
      <c r="K447" t="s">
        <v>41</v>
      </c>
      <c r="L447" t="s">
        <v>28</v>
      </c>
      <c r="M447">
        <v>8</v>
      </c>
      <c r="N447" t="s">
        <v>21</v>
      </c>
      <c r="O447">
        <v>236.58</v>
      </c>
    </row>
    <row r="448" spans="1:15" x14ac:dyDescent="0.5">
      <c r="A448" t="s">
        <v>766</v>
      </c>
      <c r="B448" s="3">
        <v>45413</v>
      </c>
      <c r="C448" t="s">
        <v>37</v>
      </c>
      <c r="D448" t="s">
        <v>54</v>
      </c>
      <c r="E448" t="s">
        <v>78</v>
      </c>
      <c r="F448">
        <v>31</v>
      </c>
      <c r="G448">
        <v>4.0999999999999996</v>
      </c>
      <c r="H448">
        <v>71</v>
      </c>
      <c r="I448">
        <v>729.36</v>
      </c>
      <c r="J448">
        <v>75</v>
      </c>
      <c r="K448" t="s">
        <v>68</v>
      </c>
      <c r="L448" t="s">
        <v>28</v>
      </c>
      <c r="M448">
        <v>10</v>
      </c>
      <c r="N448" t="s">
        <v>51</v>
      </c>
      <c r="O448">
        <v>2.95</v>
      </c>
    </row>
    <row r="449" spans="1:15" x14ac:dyDescent="0.5">
      <c r="A449" t="s">
        <v>767</v>
      </c>
      <c r="B449" t="s">
        <v>717</v>
      </c>
      <c r="C449" t="s">
        <v>66</v>
      </c>
      <c r="D449" t="s">
        <v>633</v>
      </c>
      <c r="E449" t="s">
        <v>61</v>
      </c>
      <c r="F449">
        <v>43</v>
      </c>
      <c r="G449">
        <v>3.5</v>
      </c>
      <c r="H449">
        <v>61</v>
      </c>
      <c r="I449">
        <v>2406.9899999999998</v>
      </c>
      <c r="J449">
        <v>150</v>
      </c>
      <c r="K449" t="s">
        <v>19</v>
      </c>
      <c r="L449" t="s">
        <v>59</v>
      </c>
      <c r="M449">
        <v>1</v>
      </c>
      <c r="N449" t="s">
        <v>29</v>
      </c>
      <c r="O449">
        <v>-2.92</v>
      </c>
    </row>
    <row r="450" spans="1:15" x14ac:dyDescent="0.5">
      <c r="A450" t="s">
        <v>768</v>
      </c>
      <c r="B450" s="1">
        <v>45421</v>
      </c>
      <c r="D450" t="s">
        <v>38</v>
      </c>
      <c r="E450" t="s">
        <v>55</v>
      </c>
      <c r="G450">
        <v>2.5</v>
      </c>
      <c r="H450" t="s">
        <v>353</v>
      </c>
      <c r="I450">
        <v>2309.4</v>
      </c>
      <c r="J450">
        <v>150</v>
      </c>
      <c r="K450" t="s">
        <v>68</v>
      </c>
      <c r="L450" t="s">
        <v>42</v>
      </c>
      <c r="M450">
        <v>10</v>
      </c>
      <c r="N450" t="s">
        <v>83</v>
      </c>
      <c r="O450">
        <v>-27.89</v>
      </c>
    </row>
    <row r="451" spans="1:15" x14ac:dyDescent="0.5">
      <c r="A451" t="s">
        <v>769</v>
      </c>
      <c r="B451" s="1">
        <v>45312</v>
      </c>
      <c r="C451" t="s">
        <v>66</v>
      </c>
      <c r="D451" t="s">
        <v>146</v>
      </c>
      <c r="E451" t="s">
        <v>770</v>
      </c>
      <c r="F451">
        <v>46</v>
      </c>
      <c r="G451">
        <v>4.4000000000000004</v>
      </c>
      <c r="H451">
        <v>21</v>
      </c>
      <c r="I451">
        <v>2335.19</v>
      </c>
      <c r="J451">
        <v>75</v>
      </c>
      <c r="L451" t="s">
        <v>42</v>
      </c>
      <c r="M451">
        <v>7</v>
      </c>
      <c r="N451" t="s">
        <v>83</v>
      </c>
      <c r="O451">
        <v>240.05</v>
      </c>
    </row>
    <row r="452" spans="1:15" x14ac:dyDescent="0.5">
      <c r="B452" s="1">
        <v>45468</v>
      </c>
      <c r="C452" t="s">
        <v>23</v>
      </c>
      <c r="D452" t="s">
        <v>88</v>
      </c>
      <c r="E452" t="s">
        <v>97</v>
      </c>
      <c r="F452">
        <v>59</v>
      </c>
      <c r="G452">
        <v>3.5</v>
      </c>
      <c r="H452">
        <v>60</v>
      </c>
      <c r="I452">
        <v>943.74</v>
      </c>
      <c r="J452">
        <v>150</v>
      </c>
      <c r="K452" t="s">
        <v>272</v>
      </c>
      <c r="L452" t="s">
        <v>28</v>
      </c>
      <c r="M452">
        <v>10</v>
      </c>
      <c r="O452">
        <v>-73.66</v>
      </c>
    </row>
    <row r="453" spans="1:15" x14ac:dyDescent="0.5">
      <c r="A453" t="s">
        <v>771</v>
      </c>
      <c r="B453" s="1">
        <v>45432</v>
      </c>
      <c r="C453" t="s">
        <v>620</v>
      </c>
      <c r="D453" t="s">
        <v>58</v>
      </c>
      <c r="E453" t="s">
        <v>33</v>
      </c>
      <c r="F453">
        <v>36</v>
      </c>
      <c r="G453">
        <v>3.8</v>
      </c>
      <c r="H453">
        <v>43</v>
      </c>
      <c r="I453">
        <v>168.82</v>
      </c>
      <c r="J453">
        <v>50</v>
      </c>
      <c r="K453" t="s">
        <v>73</v>
      </c>
      <c r="L453" t="s">
        <v>28</v>
      </c>
      <c r="M453">
        <v>5</v>
      </c>
      <c r="N453" t="s">
        <v>35</v>
      </c>
      <c r="O453">
        <v>-45.1</v>
      </c>
    </row>
    <row r="454" spans="1:15" x14ac:dyDescent="0.5">
      <c r="A454" t="s">
        <v>772</v>
      </c>
      <c r="B454" s="3">
        <v>45339</v>
      </c>
      <c r="C454" t="s">
        <v>31</v>
      </c>
      <c r="D454" t="s">
        <v>284</v>
      </c>
      <c r="E454" t="s">
        <v>39</v>
      </c>
      <c r="G454">
        <v>3.5</v>
      </c>
      <c r="H454">
        <v>67</v>
      </c>
      <c r="I454">
        <v>1334.84</v>
      </c>
      <c r="J454" s="2">
        <v>0.1</v>
      </c>
      <c r="K454" t="s">
        <v>19</v>
      </c>
      <c r="L454" t="s">
        <v>28</v>
      </c>
      <c r="M454">
        <v>8</v>
      </c>
      <c r="N454" t="s">
        <v>83</v>
      </c>
      <c r="O454">
        <v>103.64</v>
      </c>
    </row>
    <row r="455" spans="1:15" x14ac:dyDescent="0.5">
      <c r="A455" t="s">
        <v>773</v>
      </c>
      <c r="B455" s="1">
        <v>45339</v>
      </c>
      <c r="C455" t="s">
        <v>31</v>
      </c>
      <c r="D455" t="s">
        <v>58</v>
      </c>
      <c r="E455" t="s">
        <v>39</v>
      </c>
      <c r="F455">
        <v>22</v>
      </c>
      <c r="G455">
        <v>4.9000000000000004</v>
      </c>
      <c r="H455">
        <v>31</v>
      </c>
      <c r="I455">
        <v>122.61</v>
      </c>
      <c r="K455" t="s">
        <v>73</v>
      </c>
      <c r="L455" t="s">
        <v>28</v>
      </c>
      <c r="M455">
        <v>2</v>
      </c>
      <c r="N455" t="s">
        <v>29</v>
      </c>
      <c r="O455">
        <v>-23.6</v>
      </c>
    </row>
    <row r="456" spans="1:15" x14ac:dyDescent="0.5">
      <c r="A456" t="s">
        <v>774</v>
      </c>
      <c r="B456" s="3">
        <v>45425</v>
      </c>
      <c r="D456" t="s">
        <v>38</v>
      </c>
      <c r="E456" t="s">
        <v>18</v>
      </c>
      <c r="F456">
        <v>64</v>
      </c>
      <c r="G456">
        <v>2.2999999999999998</v>
      </c>
      <c r="H456">
        <v>75</v>
      </c>
      <c r="I456">
        <v>518.6</v>
      </c>
      <c r="J456" s="2">
        <v>0.6</v>
      </c>
      <c r="K456" t="s">
        <v>19</v>
      </c>
      <c r="L456" t="s">
        <v>42</v>
      </c>
      <c r="M456">
        <v>4</v>
      </c>
      <c r="N456" t="s">
        <v>21</v>
      </c>
      <c r="O456">
        <v>231.06</v>
      </c>
    </row>
    <row r="457" spans="1:15" x14ac:dyDescent="0.5">
      <c r="A457" t="s">
        <v>775</v>
      </c>
      <c r="B457" s="1">
        <v>45570</v>
      </c>
      <c r="C457" t="s">
        <v>23</v>
      </c>
      <c r="D457" t="s">
        <v>236</v>
      </c>
      <c r="E457" t="s">
        <v>18</v>
      </c>
      <c r="F457">
        <v>32</v>
      </c>
      <c r="G457">
        <v>4.8</v>
      </c>
      <c r="H457" t="s">
        <v>719</v>
      </c>
      <c r="I457">
        <v>780.27</v>
      </c>
      <c r="J457" s="2">
        <v>0.15</v>
      </c>
      <c r="K457" t="s">
        <v>27</v>
      </c>
      <c r="L457" t="s">
        <v>28</v>
      </c>
      <c r="M457">
        <v>10</v>
      </c>
      <c r="N457" t="s">
        <v>51</v>
      </c>
      <c r="O457">
        <v>142.13</v>
      </c>
    </row>
    <row r="458" spans="1:15" x14ac:dyDescent="0.5">
      <c r="A458" t="s">
        <v>776</v>
      </c>
      <c r="B458" s="3">
        <v>45454</v>
      </c>
      <c r="C458" t="s">
        <v>23</v>
      </c>
      <c r="D458" t="s">
        <v>24</v>
      </c>
      <c r="E458" t="s">
        <v>777</v>
      </c>
      <c r="F458">
        <v>26</v>
      </c>
      <c r="G458">
        <v>2.7</v>
      </c>
      <c r="H458">
        <v>67</v>
      </c>
      <c r="I458">
        <v>723.25</v>
      </c>
      <c r="J458">
        <v>0</v>
      </c>
      <c r="K458" t="s">
        <v>73</v>
      </c>
      <c r="L458" t="s">
        <v>28</v>
      </c>
      <c r="M458">
        <v>2</v>
      </c>
      <c r="N458" t="s">
        <v>51</v>
      </c>
    </row>
    <row r="459" spans="1:15" x14ac:dyDescent="0.5">
      <c r="A459" t="s">
        <v>778</v>
      </c>
      <c r="B459" s="3">
        <v>45398</v>
      </c>
      <c r="C459" t="s">
        <v>118</v>
      </c>
      <c r="D459" t="s">
        <v>146</v>
      </c>
      <c r="E459" t="s">
        <v>625</v>
      </c>
      <c r="F459">
        <v>65</v>
      </c>
      <c r="G459">
        <v>2.1</v>
      </c>
      <c r="H459">
        <v>65</v>
      </c>
      <c r="I459">
        <v>506.04</v>
      </c>
      <c r="J459">
        <v>50</v>
      </c>
      <c r="K459" t="s">
        <v>193</v>
      </c>
      <c r="L459" t="s">
        <v>28</v>
      </c>
      <c r="M459">
        <v>7</v>
      </c>
      <c r="N459" t="s">
        <v>43</v>
      </c>
      <c r="O459">
        <v>214.01</v>
      </c>
    </row>
    <row r="460" spans="1:15" x14ac:dyDescent="0.5">
      <c r="A460" t="s">
        <v>779</v>
      </c>
      <c r="B460" t="s">
        <v>722</v>
      </c>
      <c r="C460" t="s">
        <v>149</v>
      </c>
      <c r="D460" t="s">
        <v>339</v>
      </c>
      <c r="E460" t="s">
        <v>55</v>
      </c>
      <c r="F460">
        <v>63</v>
      </c>
      <c r="G460">
        <v>2.7</v>
      </c>
      <c r="I460">
        <v>1660.39</v>
      </c>
      <c r="J460">
        <v>50</v>
      </c>
      <c r="K460" t="s">
        <v>68</v>
      </c>
      <c r="L460" t="s">
        <v>28</v>
      </c>
      <c r="M460">
        <v>7</v>
      </c>
      <c r="N460" t="s">
        <v>29</v>
      </c>
      <c r="O460">
        <v>33.36</v>
      </c>
    </row>
    <row r="461" spans="1:15" x14ac:dyDescent="0.5">
      <c r="A461" t="s">
        <v>780</v>
      </c>
      <c r="B461" s="4">
        <v>45330.143750000003</v>
      </c>
      <c r="C461" t="s">
        <v>37</v>
      </c>
      <c r="D461" t="s">
        <v>146</v>
      </c>
      <c r="E461" t="s">
        <v>55</v>
      </c>
      <c r="F461">
        <v>23</v>
      </c>
      <c r="G461">
        <v>3.3</v>
      </c>
      <c r="H461">
        <v>43</v>
      </c>
      <c r="I461">
        <v>598.41</v>
      </c>
      <c r="J461" s="2">
        <v>0.15</v>
      </c>
      <c r="K461" t="s">
        <v>27</v>
      </c>
      <c r="L461" t="s">
        <v>42</v>
      </c>
      <c r="M461">
        <v>4</v>
      </c>
      <c r="N461" t="s">
        <v>35</v>
      </c>
    </row>
    <row r="462" spans="1:15" x14ac:dyDescent="0.5">
      <c r="A462" t="s">
        <v>781</v>
      </c>
      <c r="B462" s="3">
        <v>45472</v>
      </c>
      <c r="C462" t="s">
        <v>159</v>
      </c>
      <c r="D462" t="s">
        <v>54</v>
      </c>
      <c r="E462" t="s">
        <v>78</v>
      </c>
      <c r="F462">
        <v>63</v>
      </c>
      <c r="G462">
        <v>4.2</v>
      </c>
      <c r="H462">
        <v>57</v>
      </c>
      <c r="I462">
        <v>2373.83</v>
      </c>
      <c r="J462" s="2">
        <v>0.2</v>
      </c>
      <c r="K462" t="s">
        <v>103</v>
      </c>
      <c r="L462" t="s">
        <v>28</v>
      </c>
      <c r="M462">
        <v>7</v>
      </c>
      <c r="N462" t="s">
        <v>35</v>
      </c>
      <c r="O462">
        <v>-21.56</v>
      </c>
    </row>
    <row r="463" spans="1:15" x14ac:dyDescent="0.5">
      <c r="B463" t="s">
        <v>782</v>
      </c>
      <c r="C463" t="s">
        <v>122</v>
      </c>
      <c r="D463" t="s">
        <v>71</v>
      </c>
      <c r="E463" t="s">
        <v>78</v>
      </c>
      <c r="F463">
        <v>33</v>
      </c>
      <c r="H463">
        <v>50</v>
      </c>
      <c r="I463">
        <v>445.37</v>
      </c>
      <c r="J463">
        <v>0</v>
      </c>
      <c r="K463" t="s">
        <v>73</v>
      </c>
      <c r="L463" t="s">
        <v>28</v>
      </c>
      <c r="M463">
        <v>10</v>
      </c>
      <c r="N463" t="s">
        <v>35</v>
      </c>
      <c r="O463">
        <v>230.52</v>
      </c>
    </row>
    <row r="464" spans="1:15" x14ac:dyDescent="0.5">
      <c r="A464" t="s">
        <v>783</v>
      </c>
      <c r="B464" s="4">
        <v>45371.303472222222</v>
      </c>
      <c r="C464" t="s">
        <v>46</v>
      </c>
      <c r="D464" t="s">
        <v>284</v>
      </c>
      <c r="E464" t="s">
        <v>18</v>
      </c>
      <c r="F464">
        <v>40</v>
      </c>
      <c r="G464">
        <v>1.6</v>
      </c>
      <c r="H464" t="s">
        <v>182</v>
      </c>
      <c r="I464">
        <v>1857.14</v>
      </c>
      <c r="J464">
        <v>120</v>
      </c>
      <c r="K464" t="s">
        <v>73</v>
      </c>
      <c r="L464" t="s">
        <v>59</v>
      </c>
      <c r="M464">
        <v>9</v>
      </c>
      <c r="N464" t="s">
        <v>43</v>
      </c>
      <c r="O464">
        <v>134.66</v>
      </c>
    </row>
    <row r="465" spans="1:15" x14ac:dyDescent="0.5">
      <c r="A465" t="s">
        <v>784</v>
      </c>
      <c r="B465" s="3">
        <v>45456</v>
      </c>
      <c r="D465" t="s">
        <v>88</v>
      </c>
      <c r="E465" t="s">
        <v>33</v>
      </c>
      <c r="F465">
        <v>43</v>
      </c>
      <c r="G465">
        <v>2.6</v>
      </c>
      <c r="H465" t="s">
        <v>486</v>
      </c>
      <c r="I465">
        <v>385.31</v>
      </c>
      <c r="J465">
        <v>0</v>
      </c>
      <c r="K465" t="s">
        <v>27</v>
      </c>
      <c r="L465" t="s">
        <v>28</v>
      </c>
      <c r="M465">
        <v>9</v>
      </c>
      <c r="N465" t="s">
        <v>785</v>
      </c>
      <c r="O465">
        <v>223.86</v>
      </c>
    </row>
    <row r="466" spans="1:15" x14ac:dyDescent="0.5">
      <c r="A466" t="s">
        <v>786</v>
      </c>
      <c r="B466" s="1">
        <v>45308</v>
      </c>
      <c r="C466" t="s">
        <v>787</v>
      </c>
      <c r="D466" t="s">
        <v>54</v>
      </c>
      <c r="E466" t="s">
        <v>25</v>
      </c>
      <c r="F466">
        <v>28</v>
      </c>
      <c r="G466">
        <v>1.8</v>
      </c>
      <c r="H466" t="s">
        <v>237</v>
      </c>
      <c r="I466">
        <v>943.15</v>
      </c>
      <c r="J466">
        <v>100</v>
      </c>
      <c r="K466" t="s">
        <v>616</v>
      </c>
      <c r="L466" t="s">
        <v>42</v>
      </c>
      <c r="M466">
        <v>4</v>
      </c>
      <c r="N466" t="s">
        <v>83</v>
      </c>
      <c r="O466">
        <v>123.07</v>
      </c>
    </row>
    <row r="467" spans="1:15" x14ac:dyDescent="0.5">
      <c r="A467" t="s">
        <v>788</v>
      </c>
      <c r="B467" s="1">
        <v>45352</v>
      </c>
      <c r="C467" t="s">
        <v>112</v>
      </c>
      <c r="D467" t="s">
        <v>88</v>
      </c>
      <c r="E467" t="s">
        <v>67</v>
      </c>
      <c r="F467">
        <v>40</v>
      </c>
      <c r="G467">
        <v>1.9</v>
      </c>
      <c r="H467">
        <v>79</v>
      </c>
      <c r="J467" s="2">
        <v>0.1</v>
      </c>
      <c r="K467" t="s">
        <v>272</v>
      </c>
      <c r="L467" t="s">
        <v>42</v>
      </c>
      <c r="M467">
        <v>9</v>
      </c>
      <c r="N467" t="s">
        <v>35</v>
      </c>
    </row>
    <row r="468" spans="1:15" x14ac:dyDescent="0.5">
      <c r="A468" t="s">
        <v>789</v>
      </c>
      <c r="B468" s="3">
        <v>45382</v>
      </c>
      <c r="C468" t="s">
        <v>37</v>
      </c>
      <c r="D468" t="s">
        <v>49</v>
      </c>
      <c r="E468" t="s">
        <v>55</v>
      </c>
      <c r="F468">
        <v>43</v>
      </c>
      <c r="G468">
        <v>2.2999999999999998</v>
      </c>
      <c r="H468">
        <v>31</v>
      </c>
      <c r="I468">
        <v>465.45</v>
      </c>
      <c r="J468">
        <v>150</v>
      </c>
      <c r="K468" t="s">
        <v>68</v>
      </c>
      <c r="L468" t="s">
        <v>28</v>
      </c>
      <c r="M468">
        <v>3</v>
      </c>
      <c r="N468" t="s">
        <v>83</v>
      </c>
      <c r="O468">
        <v>164.39</v>
      </c>
    </row>
    <row r="469" spans="1:15" x14ac:dyDescent="0.5">
      <c r="A469" t="s">
        <v>790</v>
      </c>
      <c r="B469" s="1">
        <v>45453</v>
      </c>
      <c r="C469" t="s">
        <v>76</v>
      </c>
      <c r="D469" t="s">
        <v>38</v>
      </c>
      <c r="E469" t="s">
        <v>25</v>
      </c>
      <c r="F469">
        <v>33</v>
      </c>
      <c r="G469">
        <v>3.6</v>
      </c>
      <c r="H469">
        <v>49</v>
      </c>
      <c r="I469">
        <v>1064.43</v>
      </c>
      <c r="J469" s="2">
        <v>0.15</v>
      </c>
      <c r="K469" t="s">
        <v>19</v>
      </c>
      <c r="L469" t="s">
        <v>59</v>
      </c>
      <c r="M469">
        <v>1</v>
      </c>
      <c r="N469" t="s">
        <v>29</v>
      </c>
      <c r="O469">
        <v>-22.41</v>
      </c>
    </row>
    <row r="470" spans="1:15" x14ac:dyDescent="0.5">
      <c r="A470" t="s">
        <v>791</v>
      </c>
      <c r="B470" s="1">
        <v>45630</v>
      </c>
      <c r="C470" t="s">
        <v>31</v>
      </c>
      <c r="D470" t="s">
        <v>24</v>
      </c>
      <c r="E470" t="s">
        <v>33</v>
      </c>
      <c r="F470">
        <v>64</v>
      </c>
      <c r="G470">
        <v>1.3</v>
      </c>
      <c r="H470">
        <v>58</v>
      </c>
      <c r="I470">
        <v>905.28</v>
      </c>
      <c r="J470">
        <v>150</v>
      </c>
      <c r="K470" t="s">
        <v>19</v>
      </c>
      <c r="L470" t="s">
        <v>28</v>
      </c>
      <c r="M470">
        <v>3</v>
      </c>
      <c r="N470" t="s">
        <v>470</v>
      </c>
      <c r="O470">
        <v>-34.76</v>
      </c>
    </row>
    <row r="471" spans="1:15" x14ac:dyDescent="0.5">
      <c r="A471" t="s">
        <v>792</v>
      </c>
      <c r="B471" s="4">
        <v>45295.100694444445</v>
      </c>
      <c r="C471" t="s">
        <v>112</v>
      </c>
      <c r="D471" t="s">
        <v>93</v>
      </c>
      <c r="E471" t="s">
        <v>55</v>
      </c>
      <c r="F471">
        <v>47</v>
      </c>
      <c r="G471">
        <v>3.3</v>
      </c>
      <c r="H471">
        <v>42</v>
      </c>
      <c r="I471">
        <v>296.58</v>
      </c>
      <c r="J471">
        <v>50</v>
      </c>
      <c r="K471" t="s">
        <v>19</v>
      </c>
      <c r="L471" t="s">
        <v>28</v>
      </c>
      <c r="N471" t="s">
        <v>83</v>
      </c>
      <c r="O471">
        <v>96.47</v>
      </c>
    </row>
    <row r="472" spans="1:15" x14ac:dyDescent="0.5">
      <c r="A472" t="s">
        <v>793</v>
      </c>
      <c r="B472" s="3">
        <v>45455</v>
      </c>
      <c r="C472" t="s">
        <v>112</v>
      </c>
      <c r="D472" t="s">
        <v>146</v>
      </c>
      <c r="F472">
        <v>64</v>
      </c>
      <c r="G472">
        <v>3.5</v>
      </c>
      <c r="H472" t="s">
        <v>318</v>
      </c>
      <c r="I472">
        <v>464.46</v>
      </c>
      <c r="J472">
        <v>75</v>
      </c>
      <c r="K472" t="s">
        <v>19</v>
      </c>
      <c r="L472" t="s">
        <v>59</v>
      </c>
      <c r="M472">
        <v>8</v>
      </c>
      <c r="N472" t="s">
        <v>470</v>
      </c>
      <c r="O472">
        <v>58.89</v>
      </c>
    </row>
    <row r="473" spans="1:15" x14ac:dyDescent="0.5">
      <c r="A473" t="s">
        <v>794</v>
      </c>
      <c r="B473" t="s">
        <v>608</v>
      </c>
      <c r="C473" t="s">
        <v>23</v>
      </c>
      <c r="D473" t="s">
        <v>93</v>
      </c>
      <c r="E473" t="s">
        <v>795</v>
      </c>
      <c r="G473">
        <v>2.4</v>
      </c>
      <c r="H473">
        <v>75</v>
      </c>
      <c r="I473">
        <v>594.04999999999995</v>
      </c>
      <c r="J473" s="2">
        <v>0.2</v>
      </c>
      <c r="K473" t="s">
        <v>103</v>
      </c>
      <c r="L473" t="s">
        <v>28</v>
      </c>
      <c r="M473">
        <v>3</v>
      </c>
      <c r="N473" t="s">
        <v>51</v>
      </c>
      <c r="O473">
        <v>-12.06</v>
      </c>
    </row>
    <row r="474" spans="1:15" x14ac:dyDescent="0.5">
      <c r="A474" t="s">
        <v>796</v>
      </c>
      <c r="B474" t="s">
        <v>257</v>
      </c>
      <c r="C474" t="s">
        <v>136</v>
      </c>
      <c r="D474" t="s">
        <v>58</v>
      </c>
      <c r="E474" t="s">
        <v>18</v>
      </c>
      <c r="F474">
        <v>43</v>
      </c>
      <c r="G474">
        <v>2.1</v>
      </c>
      <c r="H474">
        <v>46</v>
      </c>
      <c r="I474">
        <v>830.52</v>
      </c>
      <c r="J474" s="2">
        <v>0.2</v>
      </c>
      <c r="K474" t="s">
        <v>27</v>
      </c>
      <c r="L474" t="s">
        <v>59</v>
      </c>
      <c r="M474">
        <v>10</v>
      </c>
      <c r="N474" t="s">
        <v>35</v>
      </c>
      <c r="O474">
        <v>152.88</v>
      </c>
    </row>
    <row r="475" spans="1:15" x14ac:dyDescent="0.5">
      <c r="A475" t="s">
        <v>797</v>
      </c>
      <c r="B475" s="3">
        <v>45349</v>
      </c>
      <c r="C475" t="s">
        <v>70</v>
      </c>
      <c r="D475" t="s">
        <v>88</v>
      </c>
      <c r="E475" t="s">
        <v>18</v>
      </c>
      <c r="F475">
        <v>54</v>
      </c>
      <c r="G475">
        <v>3.1</v>
      </c>
      <c r="H475">
        <v>49</v>
      </c>
      <c r="I475">
        <v>357.43</v>
      </c>
      <c r="J475">
        <v>120</v>
      </c>
      <c r="K475" t="s">
        <v>41</v>
      </c>
      <c r="L475" t="s">
        <v>28</v>
      </c>
      <c r="M475">
        <v>9</v>
      </c>
      <c r="N475" t="s">
        <v>83</v>
      </c>
      <c r="O475">
        <v>178.84</v>
      </c>
    </row>
    <row r="476" spans="1:15" x14ac:dyDescent="0.5">
      <c r="A476" t="s">
        <v>798</v>
      </c>
      <c r="D476" t="s">
        <v>54</v>
      </c>
      <c r="E476" t="s">
        <v>97</v>
      </c>
      <c r="F476">
        <v>27</v>
      </c>
      <c r="G476">
        <v>4.5</v>
      </c>
      <c r="H476" t="s">
        <v>480</v>
      </c>
      <c r="I476">
        <v>393.22</v>
      </c>
      <c r="J476">
        <v>100</v>
      </c>
      <c r="K476" t="s">
        <v>73</v>
      </c>
      <c r="L476" t="s">
        <v>28</v>
      </c>
      <c r="M476">
        <v>1</v>
      </c>
      <c r="N476" t="s">
        <v>51</v>
      </c>
      <c r="O476">
        <v>-53.97</v>
      </c>
    </row>
    <row r="477" spans="1:15" x14ac:dyDescent="0.5">
      <c r="A477" t="s">
        <v>799</v>
      </c>
      <c r="B477" t="s">
        <v>800</v>
      </c>
      <c r="C477" t="s">
        <v>66</v>
      </c>
      <c r="D477" t="s">
        <v>58</v>
      </c>
      <c r="E477" t="s">
        <v>25</v>
      </c>
      <c r="F477">
        <v>60</v>
      </c>
      <c r="G477">
        <v>1.1000000000000001</v>
      </c>
      <c r="H477" t="s">
        <v>575</v>
      </c>
      <c r="I477">
        <v>1208.9000000000001</v>
      </c>
      <c r="J477">
        <v>150</v>
      </c>
      <c r="L477" t="s">
        <v>42</v>
      </c>
      <c r="M477">
        <v>7</v>
      </c>
      <c r="N477" t="s">
        <v>74</v>
      </c>
      <c r="O477">
        <v>181.19</v>
      </c>
    </row>
    <row r="478" spans="1:15" x14ac:dyDescent="0.5">
      <c r="A478" t="s">
        <v>801</v>
      </c>
      <c r="B478" s="3">
        <v>45328</v>
      </c>
      <c r="C478" t="s">
        <v>70</v>
      </c>
      <c r="D478" t="s">
        <v>93</v>
      </c>
      <c r="E478" t="s">
        <v>101</v>
      </c>
      <c r="F478">
        <v>38</v>
      </c>
      <c r="H478" t="s">
        <v>802</v>
      </c>
      <c r="I478">
        <v>2003.47</v>
      </c>
      <c r="K478" t="s">
        <v>68</v>
      </c>
      <c r="L478" t="s">
        <v>28</v>
      </c>
      <c r="M478">
        <v>3</v>
      </c>
      <c r="N478" t="s">
        <v>35</v>
      </c>
      <c r="O478">
        <v>-29.41</v>
      </c>
    </row>
    <row r="479" spans="1:15" x14ac:dyDescent="0.5">
      <c r="B479" s="1">
        <v>45413</v>
      </c>
      <c r="C479" t="s">
        <v>122</v>
      </c>
      <c r="D479" t="s">
        <v>58</v>
      </c>
      <c r="E479" t="s">
        <v>97</v>
      </c>
      <c r="F479">
        <v>18</v>
      </c>
      <c r="G479">
        <v>2.7</v>
      </c>
      <c r="H479">
        <v>59</v>
      </c>
      <c r="I479">
        <v>1907.15</v>
      </c>
      <c r="J479">
        <v>0</v>
      </c>
      <c r="K479" t="s">
        <v>68</v>
      </c>
      <c r="L479" t="s">
        <v>42</v>
      </c>
      <c r="M479">
        <v>5</v>
      </c>
      <c r="N479" t="s">
        <v>98</v>
      </c>
      <c r="O479">
        <v>9.3800000000000008</v>
      </c>
    </row>
    <row r="480" spans="1:15" x14ac:dyDescent="0.5">
      <c r="A480" t="s">
        <v>803</v>
      </c>
      <c r="B480" t="s">
        <v>804</v>
      </c>
      <c r="C480" t="s">
        <v>218</v>
      </c>
      <c r="D480" t="s">
        <v>24</v>
      </c>
      <c r="E480" t="s">
        <v>33</v>
      </c>
      <c r="F480">
        <v>64</v>
      </c>
      <c r="G480">
        <v>4.3</v>
      </c>
      <c r="H480">
        <v>74</v>
      </c>
      <c r="I480">
        <v>1856.56</v>
      </c>
      <c r="J480">
        <v>100</v>
      </c>
      <c r="K480" t="s">
        <v>27</v>
      </c>
      <c r="L480" t="s">
        <v>28</v>
      </c>
      <c r="M480">
        <v>3</v>
      </c>
      <c r="N480" t="s">
        <v>83</v>
      </c>
      <c r="O480">
        <v>98.74</v>
      </c>
    </row>
    <row r="481" spans="1:15" x14ac:dyDescent="0.5">
      <c r="A481" t="s">
        <v>805</v>
      </c>
      <c r="B481" s="4">
        <v>45465.666666666664</v>
      </c>
      <c r="C481" t="s">
        <v>76</v>
      </c>
      <c r="D481" t="s">
        <v>17</v>
      </c>
      <c r="E481" t="s">
        <v>55</v>
      </c>
      <c r="F481">
        <v>64</v>
      </c>
      <c r="G481">
        <v>4.8</v>
      </c>
      <c r="H481">
        <v>39</v>
      </c>
      <c r="I481">
        <v>1194.26</v>
      </c>
      <c r="K481" t="s">
        <v>68</v>
      </c>
      <c r="L481" t="s">
        <v>28</v>
      </c>
      <c r="M481">
        <v>6</v>
      </c>
      <c r="N481" t="s">
        <v>29</v>
      </c>
    </row>
    <row r="482" spans="1:15" x14ac:dyDescent="0.5">
      <c r="A482" t="s">
        <v>806</v>
      </c>
      <c r="B482" s="3">
        <v>45310</v>
      </c>
      <c r="C482" t="s">
        <v>463</v>
      </c>
      <c r="D482" t="s">
        <v>58</v>
      </c>
      <c r="E482" t="s">
        <v>78</v>
      </c>
      <c r="F482">
        <v>25</v>
      </c>
      <c r="G482">
        <v>1.7</v>
      </c>
      <c r="H482" t="s">
        <v>760</v>
      </c>
      <c r="I482">
        <v>2369.92</v>
      </c>
      <c r="J482" s="2">
        <v>0.6</v>
      </c>
      <c r="K482" t="s">
        <v>369</v>
      </c>
      <c r="L482" t="s">
        <v>59</v>
      </c>
      <c r="M482">
        <v>6</v>
      </c>
      <c r="N482" t="s">
        <v>29</v>
      </c>
      <c r="O482">
        <v>133.19999999999999</v>
      </c>
    </row>
    <row r="483" spans="1:15" x14ac:dyDescent="0.5">
      <c r="A483" t="s">
        <v>807</v>
      </c>
      <c r="B483" s="4">
        <v>45480.002083333333</v>
      </c>
      <c r="C483" t="s">
        <v>66</v>
      </c>
      <c r="D483" t="s">
        <v>17</v>
      </c>
      <c r="E483" t="s">
        <v>78</v>
      </c>
      <c r="G483">
        <v>4.4000000000000004</v>
      </c>
      <c r="H483">
        <v>63</v>
      </c>
      <c r="I483">
        <v>1942.97</v>
      </c>
      <c r="K483" t="s">
        <v>73</v>
      </c>
      <c r="L483" t="s">
        <v>28</v>
      </c>
      <c r="M483">
        <v>4</v>
      </c>
      <c r="N483" t="s">
        <v>35</v>
      </c>
      <c r="O483">
        <v>24.46</v>
      </c>
    </row>
    <row r="484" spans="1:15" x14ac:dyDescent="0.5">
      <c r="A484" t="s">
        <v>808</v>
      </c>
      <c r="B484" s="4">
        <v>45413.453472222223</v>
      </c>
      <c r="C484" t="s">
        <v>244</v>
      </c>
      <c r="D484" t="s">
        <v>93</v>
      </c>
      <c r="E484" t="s">
        <v>78</v>
      </c>
      <c r="F484">
        <v>27</v>
      </c>
      <c r="G484">
        <v>1.5</v>
      </c>
      <c r="H484">
        <v>67</v>
      </c>
      <c r="I484">
        <v>639.71</v>
      </c>
      <c r="J484" s="2">
        <v>0.6</v>
      </c>
      <c r="K484" t="s">
        <v>41</v>
      </c>
      <c r="L484" t="s">
        <v>42</v>
      </c>
      <c r="M484">
        <v>5</v>
      </c>
      <c r="N484" t="s">
        <v>29</v>
      </c>
      <c r="O484" t="s">
        <v>809</v>
      </c>
    </row>
    <row r="485" spans="1:15" x14ac:dyDescent="0.5">
      <c r="A485" t="s">
        <v>810</v>
      </c>
      <c r="B485" s="4">
        <v>45298.918749999997</v>
      </c>
      <c r="C485" t="s">
        <v>76</v>
      </c>
      <c r="D485" t="s">
        <v>17</v>
      </c>
      <c r="E485" t="s">
        <v>25</v>
      </c>
      <c r="F485">
        <v>27</v>
      </c>
      <c r="G485">
        <v>4.3</v>
      </c>
      <c r="H485">
        <v>62</v>
      </c>
      <c r="I485">
        <v>1903.06</v>
      </c>
      <c r="J485">
        <v>0</v>
      </c>
      <c r="K485" t="s">
        <v>27</v>
      </c>
      <c r="L485" t="s">
        <v>28</v>
      </c>
      <c r="M485">
        <v>1</v>
      </c>
      <c r="N485" t="s">
        <v>21</v>
      </c>
      <c r="O485">
        <v>27.82</v>
      </c>
    </row>
    <row r="486" spans="1:15" x14ac:dyDescent="0.5">
      <c r="A486" t="s">
        <v>811</v>
      </c>
      <c r="B486" s="3">
        <v>45370</v>
      </c>
      <c r="D486" t="s">
        <v>71</v>
      </c>
      <c r="E486" t="s">
        <v>67</v>
      </c>
      <c r="F486">
        <v>38</v>
      </c>
      <c r="G486">
        <v>4.8</v>
      </c>
      <c r="H486">
        <v>51</v>
      </c>
      <c r="I486">
        <v>2370.84</v>
      </c>
      <c r="J486" s="2">
        <v>0.1</v>
      </c>
      <c r="K486" t="s">
        <v>103</v>
      </c>
      <c r="L486" t="s">
        <v>42</v>
      </c>
      <c r="M486">
        <v>3</v>
      </c>
      <c r="N486" t="s">
        <v>35</v>
      </c>
      <c r="O486" t="s">
        <v>812</v>
      </c>
    </row>
    <row r="487" spans="1:15" x14ac:dyDescent="0.5">
      <c r="A487" t="s">
        <v>813</v>
      </c>
      <c r="B487" s="4">
        <v>45428.308333333334</v>
      </c>
      <c r="C487" t="s">
        <v>16</v>
      </c>
      <c r="D487" t="s">
        <v>93</v>
      </c>
      <c r="E487" t="s">
        <v>55</v>
      </c>
      <c r="F487">
        <v>51</v>
      </c>
      <c r="G487">
        <v>1.6</v>
      </c>
      <c r="H487">
        <v>29</v>
      </c>
      <c r="J487" s="2">
        <v>0.5</v>
      </c>
      <c r="K487" t="s">
        <v>41</v>
      </c>
      <c r="L487" t="s">
        <v>28</v>
      </c>
      <c r="M487">
        <v>3</v>
      </c>
      <c r="N487" t="s">
        <v>51</v>
      </c>
      <c r="O487" t="s">
        <v>814</v>
      </c>
    </row>
    <row r="488" spans="1:15" x14ac:dyDescent="0.5">
      <c r="A488" t="s">
        <v>815</v>
      </c>
      <c r="B488" s="1">
        <v>45337</v>
      </c>
      <c r="C488" t="s">
        <v>283</v>
      </c>
      <c r="D488" t="s">
        <v>38</v>
      </c>
      <c r="E488" t="s">
        <v>78</v>
      </c>
      <c r="F488">
        <v>46</v>
      </c>
      <c r="G488">
        <v>3.8</v>
      </c>
      <c r="H488" t="s">
        <v>729</v>
      </c>
      <c r="I488">
        <v>1919.96</v>
      </c>
      <c r="J488">
        <v>50</v>
      </c>
      <c r="K488" t="s">
        <v>103</v>
      </c>
      <c r="L488" t="s">
        <v>28</v>
      </c>
      <c r="M488">
        <v>4</v>
      </c>
      <c r="N488" t="s">
        <v>35</v>
      </c>
      <c r="O488">
        <v>166.5</v>
      </c>
    </row>
    <row r="489" spans="1:15" x14ac:dyDescent="0.5">
      <c r="A489" t="s">
        <v>816</v>
      </c>
      <c r="B489" s="1">
        <v>45430</v>
      </c>
      <c r="C489" t="s">
        <v>81</v>
      </c>
      <c r="D489" t="s">
        <v>17</v>
      </c>
      <c r="E489" t="s">
        <v>33</v>
      </c>
      <c r="F489">
        <v>52</v>
      </c>
      <c r="G489">
        <v>3.9</v>
      </c>
      <c r="H489" t="s">
        <v>554</v>
      </c>
      <c r="I489">
        <v>564.66999999999996</v>
      </c>
      <c r="J489">
        <v>0</v>
      </c>
      <c r="K489" t="s">
        <v>103</v>
      </c>
      <c r="L489" t="s">
        <v>28</v>
      </c>
      <c r="M489">
        <v>2</v>
      </c>
      <c r="O489">
        <v>169.32</v>
      </c>
    </row>
    <row r="490" spans="1:15" x14ac:dyDescent="0.5">
      <c r="A490" t="s">
        <v>817</v>
      </c>
      <c r="B490" s="1">
        <v>45602</v>
      </c>
      <c r="C490" t="s">
        <v>112</v>
      </c>
      <c r="D490" t="s">
        <v>146</v>
      </c>
      <c r="E490" t="s">
        <v>18</v>
      </c>
      <c r="F490">
        <v>52</v>
      </c>
      <c r="G490">
        <v>3.2</v>
      </c>
      <c r="H490">
        <v>78</v>
      </c>
      <c r="I490">
        <v>544.1</v>
      </c>
      <c r="J490">
        <v>150</v>
      </c>
      <c r="K490" t="s">
        <v>68</v>
      </c>
      <c r="L490" t="s">
        <v>28</v>
      </c>
      <c r="M490">
        <v>6</v>
      </c>
      <c r="N490" t="s">
        <v>51</v>
      </c>
      <c r="O490">
        <v>67.91</v>
      </c>
    </row>
    <row r="491" spans="1:15" x14ac:dyDescent="0.5">
      <c r="A491" t="s">
        <v>818</v>
      </c>
      <c r="B491" s="1">
        <v>45598</v>
      </c>
      <c r="C491" t="s">
        <v>122</v>
      </c>
      <c r="D491" t="s">
        <v>54</v>
      </c>
      <c r="E491" t="s">
        <v>67</v>
      </c>
      <c r="F491">
        <v>55</v>
      </c>
      <c r="G491">
        <v>2.2000000000000002</v>
      </c>
      <c r="H491">
        <v>65</v>
      </c>
      <c r="I491">
        <v>1272.95</v>
      </c>
      <c r="J491">
        <v>120</v>
      </c>
      <c r="K491" t="s">
        <v>41</v>
      </c>
      <c r="L491" t="s">
        <v>59</v>
      </c>
      <c r="M491">
        <v>5</v>
      </c>
      <c r="N491" t="s">
        <v>21</v>
      </c>
      <c r="O491">
        <v>120.73</v>
      </c>
    </row>
    <row r="492" spans="1:15" x14ac:dyDescent="0.5">
      <c r="A492" t="s">
        <v>819</v>
      </c>
      <c r="B492" s="3">
        <v>45354</v>
      </c>
      <c r="C492" t="s">
        <v>37</v>
      </c>
      <c r="D492" t="s">
        <v>88</v>
      </c>
      <c r="F492">
        <v>18</v>
      </c>
      <c r="G492">
        <v>1.7</v>
      </c>
      <c r="H492">
        <v>65</v>
      </c>
      <c r="I492">
        <v>2204.5</v>
      </c>
      <c r="J492" s="2">
        <v>0.1</v>
      </c>
      <c r="K492" t="s">
        <v>64</v>
      </c>
      <c r="L492" t="s">
        <v>28</v>
      </c>
      <c r="M492">
        <v>9</v>
      </c>
      <c r="N492" t="s">
        <v>35</v>
      </c>
      <c r="O492">
        <v>38.33</v>
      </c>
    </row>
    <row r="493" spans="1:15" x14ac:dyDescent="0.5">
      <c r="A493" t="s">
        <v>820</v>
      </c>
      <c r="B493" t="s">
        <v>804</v>
      </c>
      <c r="C493" t="s">
        <v>112</v>
      </c>
      <c r="D493" t="s">
        <v>88</v>
      </c>
      <c r="E493" t="s">
        <v>97</v>
      </c>
      <c r="G493">
        <v>2.8</v>
      </c>
      <c r="H493">
        <v>16</v>
      </c>
      <c r="I493">
        <v>232.44</v>
      </c>
      <c r="J493">
        <v>150</v>
      </c>
      <c r="K493" t="s">
        <v>41</v>
      </c>
      <c r="L493" t="s">
        <v>28</v>
      </c>
      <c r="M493">
        <v>6</v>
      </c>
      <c r="N493" t="s">
        <v>43</v>
      </c>
      <c r="O493">
        <v>173.19</v>
      </c>
    </row>
    <row r="494" spans="1:15" x14ac:dyDescent="0.5">
      <c r="A494" t="s">
        <v>821</v>
      </c>
      <c r="B494" t="s">
        <v>822</v>
      </c>
      <c r="C494" t="s">
        <v>110</v>
      </c>
      <c r="D494" t="s">
        <v>93</v>
      </c>
      <c r="F494">
        <v>31</v>
      </c>
      <c r="G494">
        <v>4.5999999999999996</v>
      </c>
      <c r="H494" t="s">
        <v>614</v>
      </c>
      <c r="I494">
        <v>765.89</v>
      </c>
      <c r="J494">
        <v>75</v>
      </c>
      <c r="K494" t="s">
        <v>68</v>
      </c>
      <c r="L494" t="s">
        <v>59</v>
      </c>
      <c r="M494">
        <v>7</v>
      </c>
      <c r="N494" t="s">
        <v>83</v>
      </c>
      <c r="O494">
        <v>44.68</v>
      </c>
    </row>
    <row r="495" spans="1:15" x14ac:dyDescent="0.5">
      <c r="A495" t="s">
        <v>823</v>
      </c>
      <c r="B495" t="s">
        <v>824</v>
      </c>
      <c r="C495" t="s">
        <v>81</v>
      </c>
      <c r="D495" t="s">
        <v>181</v>
      </c>
      <c r="E495" t="s">
        <v>25</v>
      </c>
      <c r="F495">
        <v>19</v>
      </c>
      <c r="G495">
        <v>2.2000000000000002</v>
      </c>
      <c r="H495">
        <v>53</v>
      </c>
      <c r="I495">
        <v>1408.02</v>
      </c>
      <c r="J495" s="2">
        <v>0.6</v>
      </c>
      <c r="K495" t="s">
        <v>68</v>
      </c>
      <c r="L495" t="s">
        <v>42</v>
      </c>
      <c r="M495">
        <v>2</v>
      </c>
      <c r="N495" t="s">
        <v>35</v>
      </c>
      <c r="O495">
        <v>-8.01</v>
      </c>
    </row>
    <row r="496" spans="1:15" x14ac:dyDescent="0.5">
      <c r="A496" t="s">
        <v>825</v>
      </c>
      <c r="B496" s="4">
        <v>45306.004166666666</v>
      </c>
      <c r="C496" t="s">
        <v>70</v>
      </c>
      <c r="D496" t="s">
        <v>24</v>
      </c>
      <c r="E496" t="s">
        <v>67</v>
      </c>
      <c r="F496">
        <v>64</v>
      </c>
      <c r="G496">
        <v>2.4</v>
      </c>
      <c r="H496">
        <v>56</v>
      </c>
      <c r="I496">
        <v>1438.86</v>
      </c>
      <c r="J496">
        <v>75</v>
      </c>
      <c r="K496" t="s">
        <v>68</v>
      </c>
      <c r="L496" t="s">
        <v>59</v>
      </c>
      <c r="M496">
        <v>8</v>
      </c>
      <c r="N496" t="s">
        <v>83</v>
      </c>
      <c r="O496">
        <v>-61.94</v>
      </c>
    </row>
    <row r="497" spans="1:15" x14ac:dyDescent="0.5">
      <c r="A497" t="s">
        <v>826</v>
      </c>
      <c r="B497" s="1">
        <v>45326</v>
      </c>
      <c r="C497" t="s">
        <v>23</v>
      </c>
      <c r="D497" t="s">
        <v>58</v>
      </c>
      <c r="E497" t="s">
        <v>18</v>
      </c>
      <c r="F497">
        <v>47</v>
      </c>
      <c r="G497">
        <v>3.3</v>
      </c>
      <c r="H497">
        <v>73</v>
      </c>
      <c r="I497">
        <v>594.66</v>
      </c>
      <c r="J497">
        <v>50</v>
      </c>
      <c r="K497" t="s">
        <v>19</v>
      </c>
      <c r="L497" t="s">
        <v>42</v>
      </c>
      <c r="M497">
        <v>2</v>
      </c>
      <c r="N497" t="s">
        <v>29</v>
      </c>
      <c r="O497">
        <v>91.98</v>
      </c>
    </row>
    <row r="498" spans="1:15" x14ac:dyDescent="0.5">
      <c r="A498" t="s">
        <v>827</v>
      </c>
      <c r="B498" s="1">
        <v>45601</v>
      </c>
      <c r="C498" t="s">
        <v>136</v>
      </c>
      <c r="D498" t="s">
        <v>160</v>
      </c>
      <c r="E498" t="s">
        <v>18</v>
      </c>
      <c r="F498">
        <v>46</v>
      </c>
      <c r="G498">
        <v>2.6</v>
      </c>
      <c r="H498">
        <v>42</v>
      </c>
      <c r="I498">
        <v>2325.27</v>
      </c>
      <c r="J498">
        <v>120</v>
      </c>
      <c r="K498" t="s">
        <v>19</v>
      </c>
      <c r="L498" t="s">
        <v>28</v>
      </c>
      <c r="M498">
        <v>7</v>
      </c>
      <c r="N498" t="s">
        <v>43</v>
      </c>
      <c r="O498">
        <v>164.96</v>
      </c>
    </row>
    <row r="499" spans="1:15" x14ac:dyDescent="0.5">
      <c r="A499" t="s">
        <v>828</v>
      </c>
      <c r="B499" s="1">
        <v>45308</v>
      </c>
      <c r="C499" t="s">
        <v>70</v>
      </c>
      <c r="D499" t="s">
        <v>71</v>
      </c>
      <c r="E499" t="s">
        <v>78</v>
      </c>
      <c r="F499">
        <v>52</v>
      </c>
      <c r="G499">
        <v>2.4</v>
      </c>
      <c r="H499" t="s">
        <v>714</v>
      </c>
      <c r="I499">
        <v>1384.47</v>
      </c>
      <c r="J499">
        <v>150</v>
      </c>
      <c r="K499" t="s">
        <v>73</v>
      </c>
      <c r="L499" t="s">
        <v>28</v>
      </c>
      <c r="M499">
        <v>5</v>
      </c>
      <c r="N499" t="s">
        <v>43</v>
      </c>
      <c r="O499">
        <v>176.24</v>
      </c>
    </row>
    <row r="500" spans="1:15" x14ac:dyDescent="0.5">
      <c r="A500" t="s">
        <v>829</v>
      </c>
      <c r="B500" s="4">
        <v>45463.874305555553</v>
      </c>
      <c r="C500" t="s">
        <v>122</v>
      </c>
      <c r="D500" t="s">
        <v>24</v>
      </c>
      <c r="E500" t="s">
        <v>18</v>
      </c>
      <c r="F500">
        <v>29</v>
      </c>
      <c r="G500">
        <v>2.8</v>
      </c>
      <c r="H500">
        <v>24</v>
      </c>
      <c r="I500">
        <v>2071.6</v>
      </c>
      <c r="J500">
        <v>150</v>
      </c>
      <c r="K500" t="s">
        <v>103</v>
      </c>
      <c r="L500" t="s">
        <v>28</v>
      </c>
      <c r="M500">
        <v>5</v>
      </c>
      <c r="N500" t="s">
        <v>83</v>
      </c>
      <c r="O500">
        <v>182.29</v>
      </c>
    </row>
    <row r="501" spans="1:15" x14ac:dyDescent="0.5">
      <c r="A501" t="s">
        <v>830</v>
      </c>
      <c r="B501" s="3">
        <v>45425</v>
      </c>
      <c r="C501" t="s">
        <v>16</v>
      </c>
      <c r="D501" t="s">
        <v>88</v>
      </c>
      <c r="E501" t="s">
        <v>97</v>
      </c>
      <c r="F501">
        <v>23</v>
      </c>
      <c r="G501">
        <v>4.7</v>
      </c>
      <c r="H501">
        <v>17</v>
      </c>
      <c r="I501">
        <v>1876.17</v>
      </c>
      <c r="J501">
        <v>150</v>
      </c>
      <c r="K501" t="s">
        <v>103</v>
      </c>
      <c r="L501" t="s">
        <v>28</v>
      </c>
      <c r="M501">
        <v>7</v>
      </c>
      <c r="N501" t="s">
        <v>43</v>
      </c>
      <c r="O501" t="s">
        <v>831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B389F-5651-492A-9221-B67B41F58004}">
  <dimension ref="A1:P398"/>
  <sheetViews>
    <sheetView zoomScaleNormal="100" workbookViewId="0">
      <selection activeCell="D2" sqref="D2"/>
    </sheetView>
  </sheetViews>
  <sheetFormatPr defaultRowHeight="16.5" x14ac:dyDescent="0.5"/>
  <cols>
    <col min="1" max="1" width="10.81640625" customWidth="1"/>
    <col min="2" max="2" width="14.54296875" style="7" customWidth="1"/>
    <col min="3" max="3" width="12.81640625" customWidth="1"/>
    <col min="4" max="4" width="17.54296875" customWidth="1"/>
    <col min="5" max="5" width="11" customWidth="1"/>
    <col min="6" max="6" width="23.08984375" customWidth="1"/>
    <col min="7" max="7" width="15.453125" customWidth="1"/>
    <col min="8" max="8" width="8.36328125" customWidth="1"/>
    <col min="9" max="9" width="14.90625" customWidth="1"/>
    <col min="10" max="10" width="13.7265625" customWidth="1"/>
    <col min="11" max="11" width="10.453125" customWidth="1"/>
    <col min="12" max="12" width="16.54296875" customWidth="1"/>
    <col min="13" max="13" width="14.26953125" customWidth="1"/>
    <col min="14" max="14" width="18.453125" customWidth="1"/>
    <col min="15" max="15" width="17.26953125" customWidth="1"/>
    <col min="16" max="16" width="8.26953125" customWidth="1"/>
  </cols>
  <sheetData>
    <row r="1" spans="1:16" x14ac:dyDescent="0.5">
      <c r="A1" t="s">
        <v>0</v>
      </c>
      <c r="B1" s="7" t="s">
        <v>1</v>
      </c>
      <c r="C1" t="s">
        <v>832</v>
      </c>
      <c r="D1" t="s">
        <v>2</v>
      </c>
      <c r="E1" t="s">
        <v>3</v>
      </c>
      <c r="F1" t="s">
        <v>4</v>
      </c>
      <c r="G1" t="s">
        <v>5</v>
      </c>
      <c r="H1" t="s">
        <v>6</v>
      </c>
      <c r="I1" t="s">
        <v>7</v>
      </c>
      <c r="J1" t="s">
        <v>8</v>
      </c>
      <c r="K1" t="s">
        <v>9</v>
      </c>
      <c r="L1" t="s">
        <v>10</v>
      </c>
      <c r="M1" t="s">
        <v>11</v>
      </c>
      <c r="N1" t="s">
        <v>12</v>
      </c>
      <c r="O1" t="s">
        <v>13</v>
      </c>
      <c r="P1" t="s">
        <v>14</v>
      </c>
    </row>
    <row r="2" spans="1:16" x14ac:dyDescent="0.5">
      <c r="A2" s="5" t="s">
        <v>833</v>
      </c>
      <c r="B2" s="8">
        <v>45354</v>
      </c>
      <c r="C2" s="6">
        <v>0.5</v>
      </c>
      <c r="D2" s="5" t="s">
        <v>866</v>
      </c>
      <c r="E2" s="5" t="s">
        <v>17</v>
      </c>
      <c r="F2" s="5" t="s">
        <v>18</v>
      </c>
      <c r="G2" s="5">
        <v>55</v>
      </c>
      <c r="H2" s="5">
        <v>4.5</v>
      </c>
      <c r="I2" s="5">
        <v>35</v>
      </c>
      <c r="J2" s="5">
        <v>1781.57</v>
      </c>
      <c r="K2" s="5">
        <v>0.2</v>
      </c>
      <c r="L2" s="5" t="s">
        <v>834</v>
      </c>
      <c r="M2" s="5" t="s">
        <v>835</v>
      </c>
      <c r="N2" s="5">
        <v>7</v>
      </c>
      <c r="O2" s="5" t="s">
        <v>21</v>
      </c>
      <c r="P2" s="5">
        <v>124.11</v>
      </c>
    </row>
    <row r="3" spans="1:16" x14ac:dyDescent="0.5">
      <c r="A3" s="5" t="s">
        <v>22</v>
      </c>
      <c r="B3" s="8">
        <v>45303</v>
      </c>
      <c r="C3" s="6">
        <v>0.5</v>
      </c>
      <c r="D3" s="5" t="s">
        <v>23</v>
      </c>
      <c r="E3" s="5" t="s">
        <v>24</v>
      </c>
      <c r="F3" s="5" t="s">
        <v>25</v>
      </c>
      <c r="G3" s="5">
        <v>58</v>
      </c>
      <c r="H3" s="5">
        <v>3.9</v>
      </c>
      <c r="I3" s="5">
        <v>39</v>
      </c>
      <c r="J3" s="5">
        <v>762.48</v>
      </c>
      <c r="K3" s="5">
        <v>50</v>
      </c>
      <c r="L3" s="5" t="s">
        <v>27</v>
      </c>
      <c r="M3" s="5" t="s">
        <v>28</v>
      </c>
      <c r="N3" s="5">
        <v>10</v>
      </c>
      <c r="O3" s="5" t="s">
        <v>836</v>
      </c>
      <c r="P3" s="5">
        <v>50.56</v>
      </c>
    </row>
    <row r="4" spans="1:16" x14ac:dyDescent="0.5">
      <c r="A4" s="5" t="s">
        <v>30</v>
      </c>
      <c r="B4" s="8">
        <v>45385</v>
      </c>
      <c r="C4" s="6">
        <v>0.5</v>
      </c>
      <c r="D4" s="5" t="s">
        <v>31</v>
      </c>
      <c r="E4" s="5" t="s">
        <v>32</v>
      </c>
      <c r="F4" s="5" t="s">
        <v>33</v>
      </c>
      <c r="G4" s="5">
        <v>42</v>
      </c>
      <c r="H4" s="5">
        <v>2.9</v>
      </c>
      <c r="I4" s="5">
        <v>16</v>
      </c>
      <c r="J4" s="5">
        <v>1739.07</v>
      </c>
      <c r="K4" s="5">
        <v>75</v>
      </c>
      <c r="L4" s="5" t="s">
        <v>27</v>
      </c>
      <c r="M4" s="5" t="s">
        <v>28</v>
      </c>
      <c r="N4" s="5">
        <v>9</v>
      </c>
      <c r="O4" s="5" t="s">
        <v>35</v>
      </c>
      <c r="P4" s="5">
        <v>126.35</v>
      </c>
    </row>
    <row r="5" spans="1:16" x14ac:dyDescent="0.5">
      <c r="A5" s="5" t="s">
        <v>36</v>
      </c>
      <c r="B5" s="8">
        <v>45416</v>
      </c>
      <c r="C5" s="6">
        <v>0.5</v>
      </c>
      <c r="D5" s="5" t="s">
        <v>37</v>
      </c>
      <c r="E5" s="5" t="s">
        <v>38</v>
      </c>
      <c r="F5" s="5" t="s">
        <v>39</v>
      </c>
      <c r="G5" s="5">
        <v>22</v>
      </c>
      <c r="H5" s="5">
        <v>3.1</v>
      </c>
      <c r="I5" s="5">
        <v>57</v>
      </c>
      <c r="J5" s="5">
        <v>1251.17</v>
      </c>
      <c r="K5" s="5">
        <v>0.6</v>
      </c>
      <c r="L5" s="5" t="s">
        <v>837</v>
      </c>
      <c r="M5" s="5" t="s">
        <v>42</v>
      </c>
      <c r="N5" s="5">
        <v>6</v>
      </c>
      <c r="O5" s="5" t="s">
        <v>43</v>
      </c>
      <c r="P5" s="5">
        <v>1.81</v>
      </c>
    </row>
    <row r="6" spans="1:16" x14ac:dyDescent="0.5">
      <c r="A6" s="5" t="s">
        <v>48</v>
      </c>
      <c r="B6" s="8">
        <v>45432</v>
      </c>
      <c r="C6" s="6">
        <v>0.5</v>
      </c>
      <c r="D6" s="5" t="s">
        <v>37</v>
      </c>
      <c r="E6" s="5" t="s">
        <v>49</v>
      </c>
      <c r="F6" s="5" t="s">
        <v>50</v>
      </c>
      <c r="G6" s="5">
        <v>47</v>
      </c>
      <c r="H6" s="5">
        <v>3.8</v>
      </c>
      <c r="I6" s="5">
        <v>77</v>
      </c>
      <c r="J6" s="5">
        <v>488.42</v>
      </c>
      <c r="K6" s="5">
        <v>120</v>
      </c>
      <c r="L6" s="5" t="s">
        <v>27</v>
      </c>
      <c r="M6" s="5" t="s">
        <v>28</v>
      </c>
      <c r="N6" s="5">
        <v>1</v>
      </c>
      <c r="O6" s="5" t="s">
        <v>51</v>
      </c>
      <c r="P6" s="5">
        <v>116.36</v>
      </c>
    </row>
    <row r="7" spans="1:16" x14ac:dyDescent="0.5">
      <c r="A7" s="5" t="s">
        <v>56</v>
      </c>
      <c r="B7" s="8">
        <v>45319</v>
      </c>
      <c r="C7" s="6">
        <v>0.5</v>
      </c>
      <c r="D7" s="5" t="s">
        <v>23</v>
      </c>
      <c r="E7" s="5" t="s">
        <v>54</v>
      </c>
      <c r="F7" s="5" t="s">
        <v>39</v>
      </c>
      <c r="G7" s="5">
        <v>0</v>
      </c>
      <c r="H7" s="5">
        <v>3.5</v>
      </c>
      <c r="I7" s="5">
        <v>71</v>
      </c>
      <c r="J7" s="5">
        <v>1433</v>
      </c>
      <c r="K7" s="5">
        <v>0</v>
      </c>
      <c r="L7" s="5" t="s">
        <v>834</v>
      </c>
      <c r="M7" s="5" t="s">
        <v>28</v>
      </c>
      <c r="N7" s="5">
        <v>3</v>
      </c>
      <c r="O7" s="5" t="s">
        <v>21</v>
      </c>
      <c r="P7" s="5">
        <v>182.72</v>
      </c>
    </row>
    <row r="8" spans="1:16" x14ac:dyDescent="0.5">
      <c r="A8" s="5" t="s">
        <v>57</v>
      </c>
      <c r="B8" s="8">
        <v>45355</v>
      </c>
      <c r="C8" s="6">
        <v>0.5</v>
      </c>
      <c r="D8" s="5" t="s">
        <v>37</v>
      </c>
      <c r="E8" s="5" t="s">
        <v>58</v>
      </c>
      <c r="F8" s="5" t="s">
        <v>838</v>
      </c>
      <c r="G8" s="5">
        <v>39</v>
      </c>
      <c r="H8" s="5">
        <v>2.6</v>
      </c>
      <c r="I8" s="5">
        <v>46</v>
      </c>
      <c r="J8" s="5">
        <v>755</v>
      </c>
      <c r="K8" s="5">
        <v>0.1</v>
      </c>
      <c r="L8" s="5" t="s">
        <v>837</v>
      </c>
      <c r="M8" s="5" t="s">
        <v>59</v>
      </c>
      <c r="N8" s="5">
        <v>4</v>
      </c>
      <c r="O8" s="5" t="s">
        <v>43</v>
      </c>
      <c r="P8" s="5">
        <v>239.07</v>
      </c>
    </row>
    <row r="9" spans="1:16" x14ac:dyDescent="0.5">
      <c r="A9" s="5" t="s">
        <v>60</v>
      </c>
      <c r="B9" s="8">
        <v>45429</v>
      </c>
      <c r="C9" s="6">
        <v>0.5</v>
      </c>
      <c r="D9" s="5" t="s">
        <v>866</v>
      </c>
      <c r="E9" s="5" t="s">
        <v>17</v>
      </c>
      <c r="F9" s="5" t="s">
        <v>61</v>
      </c>
      <c r="G9" s="5">
        <v>30</v>
      </c>
      <c r="H9" s="5">
        <v>3.8</v>
      </c>
      <c r="I9" s="5">
        <v>0</v>
      </c>
      <c r="J9" s="5">
        <v>2322.87</v>
      </c>
      <c r="K9" s="5">
        <v>150</v>
      </c>
      <c r="L9" s="5" t="s">
        <v>27</v>
      </c>
      <c r="M9" s="5" t="s">
        <v>59</v>
      </c>
      <c r="N9" s="5">
        <v>5</v>
      </c>
      <c r="O9" s="5" t="s">
        <v>51</v>
      </c>
      <c r="P9" s="5">
        <v>52.79</v>
      </c>
    </row>
    <row r="10" spans="1:16" x14ac:dyDescent="0.5">
      <c r="A10" s="5" t="s">
        <v>62</v>
      </c>
      <c r="B10" s="8">
        <v>45389</v>
      </c>
      <c r="C10" s="6">
        <v>0.46319444444444446</v>
      </c>
      <c r="D10" s="5" t="s">
        <v>859</v>
      </c>
      <c r="E10" s="5" t="s">
        <v>54</v>
      </c>
      <c r="F10" s="5" t="s">
        <v>61</v>
      </c>
      <c r="G10" s="5">
        <v>65</v>
      </c>
      <c r="H10" s="5">
        <v>1.3</v>
      </c>
      <c r="I10" s="5">
        <v>57</v>
      </c>
      <c r="J10" s="5">
        <v>342.26</v>
      </c>
      <c r="K10" s="5">
        <v>0.2</v>
      </c>
      <c r="L10" s="5" t="s">
        <v>68</v>
      </c>
      <c r="M10" s="5" t="s">
        <v>28</v>
      </c>
      <c r="N10" s="5">
        <v>10</v>
      </c>
      <c r="O10" s="5" t="s">
        <v>35</v>
      </c>
      <c r="P10" s="5">
        <v>51.89</v>
      </c>
    </row>
    <row r="11" spans="1:16" x14ac:dyDescent="0.5">
      <c r="A11" s="5" t="s">
        <v>65</v>
      </c>
      <c r="B11" s="8">
        <v>45489</v>
      </c>
      <c r="C11" s="6">
        <v>0.15138888888888888</v>
      </c>
      <c r="D11" s="5" t="s">
        <v>66</v>
      </c>
      <c r="E11" s="5" t="s">
        <v>58</v>
      </c>
      <c r="F11" s="5" t="s">
        <v>67</v>
      </c>
      <c r="G11" s="5">
        <v>46</v>
      </c>
      <c r="H11" s="5">
        <v>3.9</v>
      </c>
      <c r="I11" s="5">
        <v>72</v>
      </c>
      <c r="J11" s="5">
        <v>2255.36</v>
      </c>
      <c r="K11" s="5">
        <v>75</v>
      </c>
      <c r="L11" s="5" t="s">
        <v>68</v>
      </c>
      <c r="M11" s="5" t="s">
        <v>28</v>
      </c>
      <c r="N11" s="5">
        <v>5</v>
      </c>
      <c r="O11" s="5" t="s">
        <v>35</v>
      </c>
      <c r="P11" s="5">
        <v>98.25</v>
      </c>
    </row>
    <row r="12" spans="1:16" x14ac:dyDescent="0.5">
      <c r="A12" s="5" t="s">
        <v>69</v>
      </c>
      <c r="B12" s="8">
        <v>45472</v>
      </c>
      <c r="C12" s="6">
        <v>0.5</v>
      </c>
      <c r="D12" s="5" t="s">
        <v>70</v>
      </c>
      <c r="E12" s="5" t="s">
        <v>71</v>
      </c>
      <c r="F12" s="5" t="s">
        <v>72</v>
      </c>
      <c r="G12" s="5">
        <v>42</v>
      </c>
      <c r="H12" s="5">
        <v>4.8</v>
      </c>
      <c r="I12" s="5">
        <v>43</v>
      </c>
      <c r="J12" s="5">
        <v>1281.99</v>
      </c>
      <c r="K12" s="5">
        <v>100</v>
      </c>
      <c r="L12" s="5" t="s">
        <v>73</v>
      </c>
      <c r="M12" s="5" t="s">
        <v>28</v>
      </c>
      <c r="N12" s="5">
        <v>7</v>
      </c>
      <c r="O12" s="5" t="s">
        <v>51</v>
      </c>
      <c r="P12" s="5">
        <v>132.11000000000001</v>
      </c>
    </row>
    <row r="13" spans="1:16" x14ac:dyDescent="0.5">
      <c r="A13" s="5" t="s">
        <v>75</v>
      </c>
      <c r="B13" s="8">
        <v>45389</v>
      </c>
      <c r="C13" s="6">
        <v>0.5</v>
      </c>
      <c r="D13" s="5" t="s">
        <v>839</v>
      </c>
      <c r="E13" s="5" t="s">
        <v>71</v>
      </c>
      <c r="F13" s="5" t="s">
        <v>18</v>
      </c>
      <c r="G13" s="5">
        <v>59</v>
      </c>
      <c r="H13" s="5">
        <v>0</v>
      </c>
      <c r="I13" s="5">
        <v>0</v>
      </c>
      <c r="J13" s="5">
        <v>708.53</v>
      </c>
      <c r="K13" s="5">
        <v>50</v>
      </c>
      <c r="L13" s="5" t="s">
        <v>68</v>
      </c>
      <c r="M13" s="5" t="s">
        <v>28</v>
      </c>
      <c r="N13" s="5">
        <v>10</v>
      </c>
      <c r="O13" s="5" t="s">
        <v>836</v>
      </c>
      <c r="P13" s="5">
        <v>-25.96</v>
      </c>
    </row>
    <row r="14" spans="1:16" x14ac:dyDescent="0.5">
      <c r="A14" s="5" t="s">
        <v>77</v>
      </c>
      <c r="B14" s="8">
        <v>45439</v>
      </c>
      <c r="C14" s="6">
        <v>0.5</v>
      </c>
      <c r="D14" s="5" t="s">
        <v>70</v>
      </c>
      <c r="E14" s="5" t="s">
        <v>58</v>
      </c>
      <c r="F14" s="5" t="s">
        <v>78</v>
      </c>
      <c r="G14" s="5">
        <v>0</v>
      </c>
      <c r="H14" s="5">
        <v>3.6</v>
      </c>
      <c r="I14" s="5">
        <v>56</v>
      </c>
      <c r="J14" s="5">
        <v>932.13</v>
      </c>
      <c r="K14" s="5">
        <v>0</v>
      </c>
      <c r="L14" s="5" t="s">
        <v>837</v>
      </c>
      <c r="M14" s="5" t="s">
        <v>42</v>
      </c>
      <c r="N14" s="5">
        <v>5</v>
      </c>
      <c r="O14" s="5" t="s">
        <v>51</v>
      </c>
      <c r="P14" s="5">
        <v>79.55</v>
      </c>
    </row>
    <row r="15" spans="1:16" x14ac:dyDescent="0.5">
      <c r="A15" s="5" t="s">
        <v>80</v>
      </c>
      <c r="B15" s="8">
        <v>45354</v>
      </c>
      <c r="C15" s="6">
        <v>0.5</v>
      </c>
      <c r="D15" s="5" t="s">
        <v>81</v>
      </c>
      <c r="E15" s="5" t="s">
        <v>17</v>
      </c>
      <c r="F15" s="5" t="s">
        <v>61</v>
      </c>
      <c r="G15" s="5">
        <v>35</v>
      </c>
      <c r="H15" s="5">
        <v>3.1</v>
      </c>
      <c r="I15" s="5">
        <v>30</v>
      </c>
      <c r="J15" s="5">
        <v>1833.78</v>
      </c>
      <c r="K15" s="5">
        <v>150</v>
      </c>
      <c r="L15" s="5" t="s">
        <v>837</v>
      </c>
      <c r="M15" s="5" t="s">
        <v>28</v>
      </c>
      <c r="N15" s="5">
        <v>10</v>
      </c>
      <c r="O15" s="5" t="s">
        <v>83</v>
      </c>
      <c r="P15" s="5">
        <v>60.42</v>
      </c>
    </row>
    <row r="16" spans="1:16" x14ac:dyDescent="0.5">
      <c r="A16" s="5" t="s">
        <v>84</v>
      </c>
      <c r="B16" s="8">
        <v>45361</v>
      </c>
      <c r="C16" s="6">
        <v>0.5</v>
      </c>
      <c r="D16" s="5" t="s">
        <v>866</v>
      </c>
      <c r="E16" s="5" t="s">
        <v>49</v>
      </c>
      <c r="F16" s="5" t="s">
        <v>78</v>
      </c>
      <c r="G16" s="5">
        <v>30</v>
      </c>
      <c r="H16" s="5">
        <v>2.4</v>
      </c>
      <c r="I16" s="5">
        <v>31</v>
      </c>
      <c r="J16" s="5">
        <v>772.86</v>
      </c>
      <c r="K16" s="5">
        <v>150</v>
      </c>
      <c r="L16" s="5" t="s">
        <v>68</v>
      </c>
      <c r="M16" s="5" t="s">
        <v>28</v>
      </c>
      <c r="N16" s="5">
        <v>3</v>
      </c>
      <c r="O16" s="5" t="s">
        <v>21</v>
      </c>
      <c r="P16" s="5">
        <v>-42.35</v>
      </c>
    </row>
    <row r="17" spans="1:16" x14ac:dyDescent="0.5">
      <c r="A17" s="5" t="s">
        <v>86</v>
      </c>
      <c r="B17" s="8">
        <v>45467</v>
      </c>
      <c r="C17" s="6">
        <v>0.5</v>
      </c>
      <c r="D17" s="5" t="s">
        <v>122</v>
      </c>
      <c r="E17" s="5" t="s">
        <v>88</v>
      </c>
      <c r="F17" s="5" t="s">
        <v>25</v>
      </c>
      <c r="G17" s="5">
        <v>55</v>
      </c>
      <c r="H17" s="5">
        <v>2.2000000000000002</v>
      </c>
      <c r="I17" s="5">
        <v>27</v>
      </c>
      <c r="J17" s="5">
        <v>2375.2600000000002</v>
      </c>
      <c r="K17" s="5">
        <v>0.1</v>
      </c>
      <c r="L17" s="5" t="s">
        <v>68</v>
      </c>
      <c r="M17" s="5" t="s">
        <v>28</v>
      </c>
      <c r="N17" s="5">
        <v>4</v>
      </c>
      <c r="O17" s="5" t="s">
        <v>83</v>
      </c>
      <c r="P17" s="5">
        <v>69.83</v>
      </c>
    </row>
    <row r="18" spans="1:16" x14ac:dyDescent="0.5">
      <c r="A18" s="5" t="s">
        <v>89</v>
      </c>
      <c r="B18" s="8">
        <v>45452</v>
      </c>
      <c r="C18" s="6">
        <v>0.33819444444444446</v>
      </c>
      <c r="D18" s="5" t="s">
        <v>66</v>
      </c>
      <c r="E18" s="5" t="s">
        <v>49</v>
      </c>
      <c r="F18" s="5" t="s">
        <v>78</v>
      </c>
      <c r="G18" s="5">
        <v>43</v>
      </c>
      <c r="H18" s="5">
        <v>3</v>
      </c>
      <c r="I18" s="5">
        <v>25</v>
      </c>
      <c r="J18" s="5">
        <v>1543.33</v>
      </c>
      <c r="K18" s="5">
        <v>120</v>
      </c>
      <c r="L18" s="5" t="s">
        <v>840</v>
      </c>
      <c r="M18" s="5" t="s">
        <v>42</v>
      </c>
      <c r="N18" s="5">
        <v>1</v>
      </c>
      <c r="O18" s="5" t="s">
        <v>836</v>
      </c>
      <c r="P18" s="5">
        <v>171.83</v>
      </c>
    </row>
    <row r="19" spans="1:16" x14ac:dyDescent="0.5">
      <c r="A19" s="5" t="s">
        <v>90</v>
      </c>
      <c r="B19" s="8">
        <v>45363</v>
      </c>
      <c r="C19" s="6">
        <v>0.5</v>
      </c>
      <c r="D19" s="5" t="s">
        <v>70</v>
      </c>
      <c r="E19" s="5" t="s">
        <v>38</v>
      </c>
      <c r="F19" s="5" t="s">
        <v>55</v>
      </c>
      <c r="G19" s="5">
        <v>53</v>
      </c>
      <c r="H19" s="5">
        <v>0</v>
      </c>
      <c r="I19" s="5">
        <v>31</v>
      </c>
      <c r="J19" s="5">
        <v>889.39</v>
      </c>
      <c r="K19" s="5">
        <v>120</v>
      </c>
      <c r="L19" s="5" t="s">
        <v>834</v>
      </c>
      <c r="M19" s="5" t="s">
        <v>42</v>
      </c>
      <c r="N19" s="5">
        <v>8</v>
      </c>
      <c r="O19" s="5" t="s">
        <v>21</v>
      </c>
      <c r="P19" s="5">
        <v>226.13</v>
      </c>
    </row>
    <row r="20" spans="1:16" x14ac:dyDescent="0.5">
      <c r="A20" s="5" t="s">
        <v>92</v>
      </c>
      <c r="B20" s="8">
        <v>45453</v>
      </c>
      <c r="C20" s="6">
        <v>0.36527777777777776</v>
      </c>
      <c r="D20" s="5" t="s">
        <v>31</v>
      </c>
      <c r="E20" s="5" t="s">
        <v>93</v>
      </c>
      <c r="F20" s="5" t="s">
        <v>67</v>
      </c>
      <c r="G20" s="5">
        <v>48</v>
      </c>
      <c r="H20" s="5">
        <v>2</v>
      </c>
      <c r="I20" s="5">
        <v>64</v>
      </c>
      <c r="J20" s="5">
        <v>573.65</v>
      </c>
      <c r="K20" s="5">
        <v>50</v>
      </c>
      <c r="L20" s="5" t="s">
        <v>834</v>
      </c>
      <c r="M20" s="5" t="s">
        <v>841</v>
      </c>
      <c r="N20" s="5">
        <v>10</v>
      </c>
      <c r="O20" s="5" t="s">
        <v>836</v>
      </c>
      <c r="P20" s="5">
        <v>97.73</v>
      </c>
    </row>
    <row r="21" spans="1:16" x14ac:dyDescent="0.5">
      <c r="A21" s="5" t="s">
        <v>95</v>
      </c>
      <c r="B21" s="8">
        <v>45408</v>
      </c>
      <c r="C21" s="6">
        <v>0.5</v>
      </c>
      <c r="D21" s="5" t="s">
        <v>31</v>
      </c>
      <c r="E21" s="5" t="s">
        <v>38</v>
      </c>
      <c r="F21" s="5" t="s">
        <v>55</v>
      </c>
      <c r="G21" s="5">
        <v>20</v>
      </c>
      <c r="H21" s="5">
        <v>4.9000000000000004</v>
      </c>
      <c r="I21" s="5">
        <v>27</v>
      </c>
      <c r="J21" s="5">
        <v>2200.5700000000002</v>
      </c>
      <c r="K21" s="5">
        <v>100</v>
      </c>
      <c r="L21" s="5" t="s">
        <v>834</v>
      </c>
      <c r="M21" s="5" t="s">
        <v>42</v>
      </c>
      <c r="N21" s="5">
        <v>10</v>
      </c>
      <c r="O21" s="5" t="s">
        <v>836</v>
      </c>
      <c r="P21" s="5">
        <v>28.43</v>
      </c>
    </row>
    <row r="22" spans="1:16" x14ac:dyDescent="0.5">
      <c r="A22" s="5" t="s">
        <v>96</v>
      </c>
      <c r="B22" s="8">
        <v>45452</v>
      </c>
      <c r="C22" s="6">
        <v>0.5</v>
      </c>
      <c r="D22" s="5" t="s">
        <v>46</v>
      </c>
      <c r="E22" s="5" t="s">
        <v>58</v>
      </c>
      <c r="F22" s="5" t="s">
        <v>97</v>
      </c>
      <c r="G22" s="5">
        <v>0</v>
      </c>
      <c r="H22" s="5">
        <v>2.2000000000000002</v>
      </c>
      <c r="I22" s="5">
        <v>33</v>
      </c>
      <c r="J22" s="5">
        <v>701.19</v>
      </c>
      <c r="K22" s="5">
        <v>50</v>
      </c>
      <c r="L22" s="5" t="s">
        <v>68</v>
      </c>
      <c r="M22" s="5" t="s">
        <v>42</v>
      </c>
      <c r="N22" s="5">
        <v>5</v>
      </c>
      <c r="O22" s="5" t="s">
        <v>43</v>
      </c>
      <c r="P22" s="5">
        <v>185.53</v>
      </c>
    </row>
    <row r="23" spans="1:16" x14ac:dyDescent="0.5">
      <c r="A23" s="5" t="s">
        <v>99</v>
      </c>
      <c r="B23" s="8">
        <v>45405</v>
      </c>
      <c r="C23" s="6">
        <v>0.5</v>
      </c>
      <c r="D23" s="5" t="s">
        <v>23</v>
      </c>
      <c r="E23" s="5" t="s">
        <v>58</v>
      </c>
      <c r="F23" s="5" t="s">
        <v>55</v>
      </c>
      <c r="G23" s="5">
        <v>60</v>
      </c>
      <c r="H23" s="5">
        <v>1</v>
      </c>
      <c r="I23" s="5">
        <v>21</v>
      </c>
      <c r="J23" s="5">
        <v>2287.27</v>
      </c>
      <c r="K23" s="5">
        <v>75</v>
      </c>
      <c r="L23" s="5" t="s">
        <v>68</v>
      </c>
      <c r="M23" s="5" t="s">
        <v>28</v>
      </c>
      <c r="N23" s="5">
        <v>3</v>
      </c>
      <c r="O23" s="5" t="s">
        <v>836</v>
      </c>
      <c r="P23" s="5">
        <v>-66.989999999999995</v>
      </c>
    </row>
    <row r="24" spans="1:16" x14ac:dyDescent="0.5">
      <c r="A24" s="5" t="s">
        <v>100</v>
      </c>
      <c r="B24" s="8">
        <v>45325</v>
      </c>
      <c r="C24" s="6">
        <v>0.5</v>
      </c>
      <c r="D24" s="5" t="s">
        <v>839</v>
      </c>
      <c r="E24" s="5" t="s">
        <v>38</v>
      </c>
      <c r="F24" s="5" t="s">
        <v>101</v>
      </c>
      <c r="G24" s="5">
        <v>39</v>
      </c>
      <c r="H24" s="5">
        <v>2.9</v>
      </c>
      <c r="I24" s="5">
        <v>63</v>
      </c>
      <c r="J24" s="5">
        <v>2420.27</v>
      </c>
      <c r="K24" s="5">
        <v>100</v>
      </c>
      <c r="L24" s="5" t="s">
        <v>103</v>
      </c>
      <c r="M24" s="5" t="s">
        <v>28</v>
      </c>
      <c r="N24" s="5">
        <v>5</v>
      </c>
      <c r="O24" s="5" t="s">
        <v>51</v>
      </c>
      <c r="P24" s="5">
        <v>42.59</v>
      </c>
    </row>
    <row r="25" spans="1:16" x14ac:dyDescent="0.5">
      <c r="A25" s="5" t="s">
        <v>104</v>
      </c>
      <c r="B25" s="8">
        <v>45435</v>
      </c>
      <c r="C25" s="6">
        <v>0.5</v>
      </c>
      <c r="D25" s="5" t="s">
        <v>66</v>
      </c>
      <c r="E25" s="5" t="s">
        <v>71</v>
      </c>
      <c r="F25" s="5" t="s">
        <v>39</v>
      </c>
      <c r="G25" s="5">
        <v>26</v>
      </c>
      <c r="H25" s="5">
        <v>2.5</v>
      </c>
      <c r="I25" s="5">
        <v>68</v>
      </c>
      <c r="J25" s="5">
        <v>1517.87</v>
      </c>
      <c r="K25" s="5">
        <v>150</v>
      </c>
      <c r="L25" s="5" t="s">
        <v>834</v>
      </c>
      <c r="M25" s="5" t="s">
        <v>59</v>
      </c>
      <c r="N25" s="5">
        <v>4</v>
      </c>
      <c r="O25" s="5" t="s">
        <v>83</v>
      </c>
      <c r="P25" s="5">
        <v>99.67</v>
      </c>
    </row>
    <row r="26" spans="1:16" x14ac:dyDescent="0.5">
      <c r="A26" s="5" t="s">
        <v>106</v>
      </c>
      <c r="B26" s="8">
        <v>45340</v>
      </c>
      <c r="C26" s="6">
        <v>0.5</v>
      </c>
      <c r="D26" s="5" t="s">
        <v>81</v>
      </c>
      <c r="E26" s="5" t="s">
        <v>17</v>
      </c>
      <c r="F26" s="5" t="s">
        <v>78</v>
      </c>
      <c r="G26" s="5">
        <v>32</v>
      </c>
      <c r="H26" s="5">
        <v>1.6</v>
      </c>
      <c r="I26" s="5">
        <v>15</v>
      </c>
      <c r="J26" s="5">
        <v>779.91</v>
      </c>
      <c r="K26" s="5">
        <v>120</v>
      </c>
      <c r="L26" s="5" t="s">
        <v>73</v>
      </c>
      <c r="M26" s="5" t="s">
        <v>840</v>
      </c>
      <c r="N26" s="5">
        <v>4</v>
      </c>
      <c r="O26" s="5" t="s">
        <v>51</v>
      </c>
      <c r="P26" s="5">
        <v>-62.71</v>
      </c>
    </row>
    <row r="27" spans="1:16" x14ac:dyDescent="0.5">
      <c r="A27" s="5" t="s">
        <v>107</v>
      </c>
      <c r="B27" s="8">
        <v>45413</v>
      </c>
      <c r="C27" s="6">
        <v>0.13750000000000001</v>
      </c>
      <c r="D27" s="5" t="s">
        <v>37</v>
      </c>
      <c r="E27" s="5" t="s">
        <v>88</v>
      </c>
      <c r="F27" s="5" t="s">
        <v>67</v>
      </c>
      <c r="G27" s="5">
        <v>46</v>
      </c>
      <c r="H27" s="5">
        <v>1.3</v>
      </c>
      <c r="I27" s="5">
        <v>23</v>
      </c>
      <c r="J27" s="5">
        <v>420.34</v>
      </c>
      <c r="K27" s="5">
        <v>150</v>
      </c>
      <c r="L27" s="5" t="s">
        <v>73</v>
      </c>
      <c r="M27" s="5" t="s">
        <v>28</v>
      </c>
      <c r="N27" s="5">
        <v>9</v>
      </c>
      <c r="O27" s="5" t="s">
        <v>836</v>
      </c>
      <c r="P27" s="5">
        <v>213.07</v>
      </c>
    </row>
    <row r="28" spans="1:16" x14ac:dyDescent="0.5">
      <c r="A28" s="5" t="s">
        <v>108</v>
      </c>
      <c r="B28" s="8">
        <v>45419</v>
      </c>
      <c r="C28" s="6">
        <v>0.5</v>
      </c>
      <c r="D28" s="5" t="s">
        <v>839</v>
      </c>
      <c r="E28" s="5" t="s">
        <v>93</v>
      </c>
      <c r="F28" s="5" t="s">
        <v>61</v>
      </c>
      <c r="G28" s="5">
        <v>39</v>
      </c>
      <c r="H28" s="5">
        <v>2.6</v>
      </c>
      <c r="I28" s="5">
        <v>69</v>
      </c>
      <c r="J28" s="5">
        <v>2186.06</v>
      </c>
      <c r="K28" s="5">
        <v>120</v>
      </c>
      <c r="L28" s="5" t="s">
        <v>73</v>
      </c>
      <c r="M28" s="5" t="s">
        <v>28</v>
      </c>
      <c r="N28" s="5">
        <v>6</v>
      </c>
      <c r="O28" s="5" t="s">
        <v>21</v>
      </c>
      <c r="P28" s="5">
        <v>186.38</v>
      </c>
    </row>
    <row r="29" spans="1:16" x14ac:dyDescent="0.5">
      <c r="A29" s="5" t="s">
        <v>109</v>
      </c>
      <c r="B29" s="8">
        <v>45449</v>
      </c>
      <c r="C29" s="6">
        <v>0.4597222222222222</v>
      </c>
      <c r="D29" s="5" t="s">
        <v>860</v>
      </c>
      <c r="E29" s="5" t="s">
        <v>54</v>
      </c>
      <c r="F29" s="5" t="s">
        <v>39</v>
      </c>
      <c r="G29" s="5">
        <v>65</v>
      </c>
      <c r="H29" s="5">
        <v>1.1000000000000001</v>
      </c>
      <c r="I29" s="5">
        <v>42</v>
      </c>
      <c r="J29" s="5">
        <v>1015.34</v>
      </c>
      <c r="K29" s="5">
        <v>0.2</v>
      </c>
      <c r="L29" s="5" t="s">
        <v>27</v>
      </c>
      <c r="M29" s="5" t="s">
        <v>28</v>
      </c>
      <c r="N29" s="5">
        <v>2</v>
      </c>
      <c r="O29" s="5" t="s">
        <v>83</v>
      </c>
      <c r="P29" s="5">
        <v>120.34</v>
      </c>
    </row>
    <row r="30" spans="1:16" x14ac:dyDescent="0.5">
      <c r="A30" s="5" t="s">
        <v>111</v>
      </c>
      <c r="B30" s="8">
        <v>45380</v>
      </c>
      <c r="C30" s="6">
        <v>0.5</v>
      </c>
      <c r="D30" s="5" t="s">
        <v>112</v>
      </c>
      <c r="E30" s="5" t="s">
        <v>71</v>
      </c>
      <c r="F30" s="5" t="s">
        <v>25</v>
      </c>
      <c r="G30" s="5">
        <v>38</v>
      </c>
      <c r="H30" s="5">
        <v>3</v>
      </c>
      <c r="I30" s="5">
        <v>31</v>
      </c>
      <c r="J30" s="5">
        <v>1024.8900000000001</v>
      </c>
      <c r="K30" s="5">
        <v>150</v>
      </c>
      <c r="L30" s="5" t="s">
        <v>73</v>
      </c>
      <c r="M30" s="5" t="s">
        <v>28</v>
      </c>
      <c r="N30" s="5">
        <v>7</v>
      </c>
      <c r="O30" s="5" t="s">
        <v>51</v>
      </c>
      <c r="P30" s="5">
        <v>15.54</v>
      </c>
    </row>
    <row r="31" spans="1:16" x14ac:dyDescent="0.5">
      <c r="A31" s="5" t="s">
        <v>113</v>
      </c>
      <c r="B31" s="8">
        <v>45450</v>
      </c>
      <c r="C31" s="6">
        <v>0.5</v>
      </c>
      <c r="D31" s="5" t="s">
        <v>839</v>
      </c>
      <c r="E31" s="5" t="s">
        <v>88</v>
      </c>
      <c r="F31" s="5" t="s">
        <v>25</v>
      </c>
      <c r="G31" s="5">
        <v>50</v>
      </c>
      <c r="H31" s="5">
        <v>4.0999999999999996</v>
      </c>
      <c r="I31" s="5">
        <v>33</v>
      </c>
      <c r="J31" s="5">
        <v>682.32</v>
      </c>
      <c r="K31" s="5">
        <v>0.6</v>
      </c>
      <c r="L31" s="5" t="s">
        <v>68</v>
      </c>
      <c r="M31" s="5" t="s">
        <v>28</v>
      </c>
      <c r="N31" s="5">
        <v>10</v>
      </c>
      <c r="O31" s="5" t="s">
        <v>836</v>
      </c>
      <c r="P31" s="5">
        <v>205.2</v>
      </c>
    </row>
    <row r="32" spans="1:16" x14ac:dyDescent="0.5">
      <c r="A32" s="5" t="s">
        <v>117</v>
      </c>
      <c r="B32" s="8">
        <v>45465</v>
      </c>
      <c r="C32" s="6">
        <v>0.5</v>
      </c>
      <c r="D32" s="5" t="s">
        <v>112</v>
      </c>
      <c r="E32" s="5" t="s">
        <v>71</v>
      </c>
      <c r="F32" s="5" t="s">
        <v>78</v>
      </c>
      <c r="G32" s="5">
        <v>40</v>
      </c>
      <c r="H32" s="5">
        <v>3.6</v>
      </c>
      <c r="I32" s="5">
        <v>31</v>
      </c>
      <c r="J32" s="5">
        <v>1536.2</v>
      </c>
      <c r="K32" s="5">
        <v>0.5</v>
      </c>
      <c r="L32" s="5" t="s">
        <v>27</v>
      </c>
      <c r="M32" s="5" t="s">
        <v>28</v>
      </c>
      <c r="N32" s="5">
        <v>1</v>
      </c>
      <c r="O32" s="5" t="s">
        <v>83</v>
      </c>
      <c r="P32" s="5">
        <v>32.770000000000003</v>
      </c>
    </row>
    <row r="33" spans="1:16" x14ac:dyDescent="0.5">
      <c r="A33" s="5" t="s">
        <v>119</v>
      </c>
      <c r="B33" s="8">
        <v>45331</v>
      </c>
      <c r="C33" s="6">
        <v>0.5</v>
      </c>
      <c r="D33" s="5" t="s">
        <v>866</v>
      </c>
      <c r="E33" s="5" t="s">
        <v>38</v>
      </c>
      <c r="F33" s="5" t="s">
        <v>33</v>
      </c>
      <c r="G33" s="5">
        <v>28</v>
      </c>
      <c r="H33" s="5">
        <v>1.2</v>
      </c>
      <c r="I33" s="5">
        <v>45</v>
      </c>
      <c r="J33" s="5">
        <v>2427.62</v>
      </c>
      <c r="K33" s="5">
        <v>100</v>
      </c>
      <c r="L33" s="5" t="s">
        <v>68</v>
      </c>
      <c r="M33" s="5" t="s">
        <v>28</v>
      </c>
      <c r="N33" s="5">
        <v>10</v>
      </c>
      <c r="O33" s="5" t="s">
        <v>43</v>
      </c>
      <c r="P33" s="5">
        <v>46.02</v>
      </c>
    </row>
    <row r="34" spans="1:16" x14ac:dyDescent="0.5">
      <c r="A34" s="5" t="s">
        <v>120</v>
      </c>
      <c r="B34" s="8">
        <v>45446</v>
      </c>
      <c r="C34" s="6">
        <v>0.5</v>
      </c>
      <c r="D34" s="5" t="s">
        <v>46</v>
      </c>
      <c r="E34" s="5" t="s">
        <v>88</v>
      </c>
      <c r="F34" s="5" t="s">
        <v>101</v>
      </c>
      <c r="G34" s="5">
        <v>32</v>
      </c>
      <c r="H34" s="5">
        <v>4.5</v>
      </c>
      <c r="I34" s="5">
        <v>68</v>
      </c>
      <c r="J34" s="5">
        <v>246.75</v>
      </c>
      <c r="K34" s="5">
        <v>0.1</v>
      </c>
      <c r="L34" s="5" t="s">
        <v>73</v>
      </c>
      <c r="M34" s="5" t="s">
        <v>59</v>
      </c>
      <c r="N34" s="5">
        <v>8</v>
      </c>
      <c r="O34" s="5" t="s">
        <v>836</v>
      </c>
      <c r="P34" s="5">
        <v>74.81</v>
      </c>
    </row>
    <row r="35" spans="1:16" x14ac:dyDescent="0.5">
      <c r="A35" s="5" t="s">
        <v>842</v>
      </c>
      <c r="B35" s="8">
        <v>45330</v>
      </c>
      <c r="C35" s="6">
        <v>0.5</v>
      </c>
      <c r="D35" s="5" t="s">
        <v>122</v>
      </c>
      <c r="E35" s="5" t="s">
        <v>17</v>
      </c>
      <c r="F35" s="5" t="s">
        <v>97</v>
      </c>
      <c r="G35" s="5">
        <v>0</v>
      </c>
      <c r="H35" s="5">
        <v>2</v>
      </c>
      <c r="I35" s="5">
        <v>42</v>
      </c>
      <c r="J35" s="5">
        <v>123.72</v>
      </c>
      <c r="K35" s="5">
        <v>50</v>
      </c>
      <c r="L35" s="5" t="s">
        <v>27</v>
      </c>
      <c r="M35" s="5" t="s">
        <v>28</v>
      </c>
      <c r="N35" s="5">
        <v>1</v>
      </c>
      <c r="O35" s="5" t="s">
        <v>43</v>
      </c>
      <c r="P35" s="5">
        <v>47.67</v>
      </c>
    </row>
    <row r="36" spans="1:16" x14ac:dyDescent="0.5">
      <c r="A36" s="5" t="s">
        <v>124</v>
      </c>
      <c r="B36" s="8">
        <v>45309</v>
      </c>
      <c r="C36" s="6">
        <v>0.5</v>
      </c>
      <c r="D36" s="5" t="s">
        <v>112</v>
      </c>
      <c r="E36" s="5" t="s">
        <v>17</v>
      </c>
      <c r="F36" s="5" t="s">
        <v>67</v>
      </c>
      <c r="G36" s="5">
        <v>63</v>
      </c>
      <c r="H36" s="5">
        <v>2.8</v>
      </c>
      <c r="I36" s="5">
        <v>20</v>
      </c>
      <c r="J36" s="5">
        <v>2002.84</v>
      </c>
      <c r="K36" s="5">
        <v>0.2</v>
      </c>
      <c r="L36" s="5" t="s">
        <v>103</v>
      </c>
      <c r="M36" s="5" t="s">
        <v>28</v>
      </c>
      <c r="N36" s="5">
        <v>1</v>
      </c>
      <c r="O36" s="5" t="s">
        <v>836</v>
      </c>
      <c r="P36" s="5">
        <v>41.45</v>
      </c>
    </row>
    <row r="37" spans="1:16" x14ac:dyDescent="0.5">
      <c r="A37" s="5" t="s">
        <v>125</v>
      </c>
      <c r="B37" s="8">
        <v>45390</v>
      </c>
      <c r="C37" s="6">
        <v>0.5</v>
      </c>
      <c r="D37" s="5" t="s">
        <v>81</v>
      </c>
      <c r="E37" s="5" t="s">
        <v>93</v>
      </c>
      <c r="F37" s="5" t="s">
        <v>78</v>
      </c>
      <c r="G37" s="5">
        <v>38</v>
      </c>
      <c r="H37" s="5">
        <v>2.2000000000000002</v>
      </c>
      <c r="I37" s="5">
        <v>69</v>
      </c>
      <c r="J37" s="5">
        <v>516.61</v>
      </c>
      <c r="K37" s="5">
        <v>150</v>
      </c>
      <c r="L37" s="5" t="s">
        <v>73</v>
      </c>
      <c r="M37" s="5" t="s">
        <v>28</v>
      </c>
      <c r="N37" s="5">
        <v>3</v>
      </c>
      <c r="O37" s="5" t="s">
        <v>21</v>
      </c>
      <c r="P37" s="5">
        <v>0</v>
      </c>
    </row>
    <row r="38" spans="1:16" x14ac:dyDescent="0.5">
      <c r="A38" s="5" t="s">
        <v>127</v>
      </c>
      <c r="B38" s="8">
        <v>45355</v>
      </c>
      <c r="C38" s="6">
        <v>0.5</v>
      </c>
      <c r="D38" s="5" t="s">
        <v>843</v>
      </c>
      <c r="E38" s="5" t="s">
        <v>49</v>
      </c>
      <c r="F38" s="5" t="s">
        <v>97</v>
      </c>
      <c r="G38" s="5">
        <v>33</v>
      </c>
      <c r="H38" s="5">
        <v>1.1000000000000001</v>
      </c>
      <c r="I38" s="5">
        <v>48</v>
      </c>
      <c r="J38" s="5">
        <v>1041.03</v>
      </c>
      <c r="K38" s="5">
        <v>0.2</v>
      </c>
      <c r="L38" s="5" t="s">
        <v>27</v>
      </c>
      <c r="M38" s="5" t="s">
        <v>28</v>
      </c>
      <c r="N38" s="5">
        <v>3</v>
      </c>
      <c r="O38" s="5" t="s">
        <v>836</v>
      </c>
      <c r="P38" s="5">
        <v>145.04</v>
      </c>
    </row>
    <row r="39" spans="1:16" x14ac:dyDescent="0.5">
      <c r="A39" s="5" t="s">
        <v>131</v>
      </c>
      <c r="B39" s="8">
        <v>45420</v>
      </c>
      <c r="C39" s="6">
        <v>0.5</v>
      </c>
      <c r="D39" s="5" t="s">
        <v>37</v>
      </c>
      <c r="E39" s="5" t="s">
        <v>38</v>
      </c>
      <c r="F39" s="5" t="s">
        <v>97</v>
      </c>
      <c r="G39" s="5">
        <v>37</v>
      </c>
      <c r="H39" s="5">
        <v>1.4</v>
      </c>
      <c r="I39" s="5">
        <v>34</v>
      </c>
      <c r="J39" s="5">
        <v>527.46</v>
      </c>
      <c r="K39" s="5">
        <v>75</v>
      </c>
      <c r="L39" s="5" t="s">
        <v>103</v>
      </c>
      <c r="M39" s="5" t="s">
        <v>28</v>
      </c>
      <c r="N39" s="5">
        <v>10</v>
      </c>
      <c r="O39" s="5" t="s">
        <v>840</v>
      </c>
      <c r="P39" s="5">
        <v>213.37</v>
      </c>
    </row>
    <row r="40" spans="1:16" x14ac:dyDescent="0.5">
      <c r="A40" s="5" t="s">
        <v>132</v>
      </c>
      <c r="B40" s="8">
        <v>45354</v>
      </c>
      <c r="C40" s="6">
        <v>0.5</v>
      </c>
      <c r="D40" s="5" t="s">
        <v>866</v>
      </c>
      <c r="E40" s="5" t="s">
        <v>38</v>
      </c>
      <c r="F40" s="5" t="s">
        <v>61</v>
      </c>
      <c r="G40" s="5">
        <v>38</v>
      </c>
      <c r="H40" s="5">
        <v>1.5</v>
      </c>
      <c r="I40" s="5">
        <v>33</v>
      </c>
      <c r="J40" s="5">
        <v>350.41</v>
      </c>
      <c r="K40" s="5">
        <v>0.6</v>
      </c>
      <c r="L40" s="5" t="s">
        <v>837</v>
      </c>
      <c r="M40" s="5" t="s">
        <v>59</v>
      </c>
      <c r="N40" s="5">
        <v>3</v>
      </c>
      <c r="O40" s="5" t="s">
        <v>43</v>
      </c>
      <c r="P40" s="5">
        <v>210.09</v>
      </c>
    </row>
    <row r="41" spans="1:16" x14ac:dyDescent="0.5">
      <c r="A41" s="5" t="s">
        <v>133</v>
      </c>
      <c r="B41" s="8">
        <v>45409</v>
      </c>
      <c r="C41" s="6">
        <v>0.5</v>
      </c>
      <c r="D41" s="5" t="s">
        <v>843</v>
      </c>
      <c r="E41" s="5" t="s">
        <v>54</v>
      </c>
      <c r="F41" s="5" t="s">
        <v>134</v>
      </c>
      <c r="G41" s="5">
        <v>34</v>
      </c>
      <c r="H41" s="5">
        <v>4.0999999999999996</v>
      </c>
      <c r="I41" s="5">
        <v>66</v>
      </c>
      <c r="J41" s="5">
        <v>241.76</v>
      </c>
      <c r="K41" s="5">
        <v>0.2</v>
      </c>
      <c r="L41" s="5" t="s">
        <v>834</v>
      </c>
      <c r="M41" s="5" t="s">
        <v>28</v>
      </c>
      <c r="N41" s="5">
        <v>7</v>
      </c>
      <c r="O41" s="5" t="s">
        <v>83</v>
      </c>
      <c r="P41" s="5">
        <v>229.85</v>
      </c>
    </row>
    <row r="42" spans="1:16" x14ac:dyDescent="0.5">
      <c r="A42" s="5" t="s">
        <v>135</v>
      </c>
      <c r="B42" s="8">
        <v>45420</v>
      </c>
      <c r="C42" s="6">
        <v>0.5</v>
      </c>
      <c r="D42" s="5" t="s">
        <v>136</v>
      </c>
      <c r="E42" s="5" t="s">
        <v>88</v>
      </c>
      <c r="F42" s="5" t="s">
        <v>55</v>
      </c>
      <c r="G42" s="5">
        <v>50</v>
      </c>
      <c r="H42" s="5">
        <v>3.8</v>
      </c>
      <c r="I42" s="5">
        <v>17</v>
      </c>
      <c r="J42" s="5">
        <v>996.69</v>
      </c>
      <c r="K42" s="5">
        <v>120</v>
      </c>
      <c r="L42" s="5" t="s">
        <v>73</v>
      </c>
      <c r="M42" s="5" t="s">
        <v>28</v>
      </c>
      <c r="N42" s="5">
        <v>10</v>
      </c>
      <c r="O42" s="5" t="s">
        <v>51</v>
      </c>
      <c r="P42" s="5">
        <v>78.55</v>
      </c>
    </row>
    <row r="43" spans="1:16" x14ac:dyDescent="0.5">
      <c r="A43" s="5" t="s">
        <v>137</v>
      </c>
      <c r="B43" s="8">
        <v>45389</v>
      </c>
      <c r="C43" s="6">
        <v>0.5</v>
      </c>
      <c r="D43" s="5" t="s">
        <v>843</v>
      </c>
      <c r="E43" s="5" t="s">
        <v>93</v>
      </c>
      <c r="F43" s="5" t="s">
        <v>55</v>
      </c>
      <c r="G43" s="5">
        <v>65</v>
      </c>
      <c r="H43" s="5">
        <v>3.8</v>
      </c>
      <c r="I43" s="5">
        <v>56</v>
      </c>
      <c r="J43" s="5">
        <v>2495.5300000000002</v>
      </c>
      <c r="K43" s="5">
        <v>0.15</v>
      </c>
      <c r="L43" s="5" t="s">
        <v>837</v>
      </c>
      <c r="M43" s="5" t="s">
        <v>59</v>
      </c>
      <c r="N43" s="5">
        <v>9</v>
      </c>
      <c r="O43" s="5" t="s">
        <v>83</v>
      </c>
      <c r="P43" s="5">
        <v>18.21</v>
      </c>
    </row>
    <row r="44" spans="1:16" x14ac:dyDescent="0.5">
      <c r="A44" s="5" t="s">
        <v>844</v>
      </c>
      <c r="B44" s="8">
        <v>45367</v>
      </c>
      <c r="C44" s="6">
        <v>0.30694444444444446</v>
      </c>
      <c r="D44" s="5" t="s">
        <v>66</v>
      </c>
      <c r="E44" s="5" t="s">
        <v>88</v>
      </c>
      <c r="F44" s="5" t="s">
        <v>33</v>
      </c>
      <c r="G44" s="5">
        <v>46</v>
      </c>
      <c r="H44" s="5">
        <v>4.8</v>
      </c>
      <c r="I44" s="5">
        <v>16</v>
      </c>
      <c r="J44" s="5">
        <v>742.5</v>
      </c>
      <c r="K44" s="5">
        <v>0.1</v>
      </c>
      <c r="L44" s="5" t="s">
        <v>837</v>
      </c>
      <c r="M44" s="5" t="s">
        <v>59</v>
      </c>
      <c r="N44" s="5">
        <v>6</v>
      </c>
      <c r="O44" s="5" t="s">
        <v>51</v>
      </c>
      <c r="P44" s="5">
        <v>77.8</v>
      </c>
    </row>
    <row r="45" spans="1:16" x14ac:dyDescent="0.5">
      <c r="A45" s="5" t="s">
        <v>145</v>
      </c>
      <c r="B45" s="8">
        <v>45471</v>
      </c>
      <c r="C45" s="6">
        <v>0.5</v>
      </c>
      <c r="D45" s="5" t="s">
        <v>37</v>
      </c>
      <c r="E45" s="5" t="s">
        <v>146</v>
      </c>
      <c r="F45" s="5" t="s">
        <v>61</v>
      </c>
      <c r="G45" s="5">
        <v>50</v>
      </c>
      <c r="H45" s="5">
        <v>3.1</v>
      </c>
      <c r="I45" s="5">
        <v>69</v>
      </c>
      <c r="J45" s="5">
        <v>1358.41</v>
      </c>
      <c r="K45" s="5">
        <v>0.6</v>
      </c>
      <c r="L45" s="5" t="s">
        <v>837</v>
      </c>
      <c r="M45" s="5" t="s">
        <v>28</v>
      </c>
      <c r="N45" s="5">
        <v>9</v>
      </c>
      <c r="O45" s="5" t="s">
        <v>43</v>
      </c>
      <c r="P45" s="5">
        <v>-72.819999999999993</v>
      </c>
    </row>
    <row r="46" spans="1:16" x14ac:dyDescent="0.5">
      <c r="A46" s="5" t="s">
        <v>845</v>
      </c>
      <c r="B46" s="8">
        <v>45347</v>
      </c>
      <c r="C46" s="6">
        <v>0.5</v>
      </c>
      <c r="D46" s="5" t="s">
        <v>70</v>
      </c>
      <c r="E46" s="5" t="s">
        <v>93</v>
      </c>
      <c r="F46" s="5" t="s">
        <v>33</v>
      </c>
      <c r="G46" s="5">
        <v>44</v>
      </c>
      <c r="H46" s="5">
        <v>4.5999999999999996</v>
      </c>
      <c r="I46" s="5">
        <v>63</v>
      </c>
      <c r="J46" s="5">
        <v>1014.04</v>
      </c>
      <c r="K46" s="5">
        <v>120</v>
      </c>
      <c r="L46" s="5" t="s">
        <v>68</v>
      </c>
      <c r="M46" s="5" t="s">
        <v>28</v>
      </c>
      <c r="N46" s="5">
        <v>1</v>
      </c>
      <c r="O46" s="5" t="s">
        <v>21</v>
      </c>
      <c r="P46" s="5">
        <v>157.30000000000001</v>
      </c>
    </row>
    <row r="47" spans="1:16" x14ac:dyDescent="0.5">
      <c r="A47" s="5" t="s">
        <v>150</v>
      </c>
      <c r="B47" s="8">
        <v>45409</v>
      </c>
      <c r="C47" s="6">
        <v>0.5</v>
      </c>
      <c r="D47" s="5" t="s">
        <v>66</v>
      </c>
      <c r="E47" s="5" t="s">
        <v>71</v>
      </c>
      <c r="F47" s="5" t="s">
        <v>25</v>
      </c>
      <c r="G47" s="5">
        <v>63</v>
      </c>
      <c r="H47" s="5">
        <v>2</v>
      </c>
      <c r="I47" s="5">
        <v>0</v>
      </c>
      <c r="J47" s="5">
        <v>1164.73</v>
      </c>
      <c r="K47" s="5">
        <v>0</v>
      </c>
      <c r="L47" s="5" t="s">
        <v>68</v>
      </c>
      <c r="M47" s="5" t="s">
        <v>28</v>
      </c>
      <c r="N47" s="5">
        <v>6</v>
      </c>
      <c r="O47" s="5" t="s">
        <v>35</v>
      </c>
      <c r="P47" s="5">
        <v>137.87</v>
      </c>
    </row>
    <row r="48" spans="1:16" x14ac:dyDescent="0.5">
      <c r="A48" s="5" t="s">
        <v>152</v>
      </c>
      <c r="B48" s="8">
        <v>45443</v>
      </c>
      <c r="C48" s="6">
        <v>0.24861111111111112</v>
      </c>
      <c r="D48" s="5" t="s">
        <v>70</v>
      </c>
      <c r="E48" s="5" t="s">
        <v>71</v>
      </c>
      <c r="F48" s="5" t="s">
        <v>33</v>
      </c>
      <c r="G48" s="5">
        <v>32</v>
      </c>
      <c r="H48" s="5">
        <v>3.8</v>
      </c>
      <c r="I48" s="5">
        <v>22</v>
      </c>
      <c r="J48" s="5">
        <v>1458.48</v>
      </c>
      <c r="K48" s="5">
        <v>50</v>
      </c>
      <c r="L48" s="5" t="s">
        <v>837</v>
      </c>
      <c r="M48" s="5" t="s">
        <v>28</v>
      </c>
      <c r="N48" s="5">
        <v>4</v>
      </c>
      <c r="O48" s="5" t="s">
        <v>21</v>
      </c>
      <c r="P48" s="5">
        <v>118.96</v>
      </c>
    </row>
    <row r="49" spans="1:16" x14ac:dyDescent="0.5">
      <c r="A49" s="5" t="s">
        <v>154</v>
      </c>
      <c r="B49" s="8">
        <v>45389</v>
      </c>
      <c r="C49" s="6">
        <v>0.5</v>
      </c>
      <c r="D49" s="5" t="s">
        <v>81</v>
      </c>
      <c r="E49" s="5" t="s">
        <v>58</v>
      </c>
      <c r="F49" s="5" t="s">
        <v>67</v>
      </c>
      <c r="G49" s="5">
        <v>33</v>
      </c>
      <c r="H49" s="5">
        <v>4.0999999999999996</v>
      </c>
      <c r="I49" s="5">
        <v>60</v>
      </c>
      <c r="J49" s="5">
        <v>854.05</v>
      </c>
      <c r="K49" s="5">
        <v>100</v>
      </c>
      <c r="L49" s="5" t="s">
        <v>834</v>
      </c>
      <c r="M49" s="5" t="s">
        <v>59</v>
      </c>
      <c r="N49" s="5">
        <v>10</v>
      </c>
      <c r="O49" s="5" t="s">
        <v>35</v>
      </c>
      <c r="P49" s="5">
        <v>102.59</v>
      </c>
    </row>
    <row r="50" spans="1:16" x14ac:dyDescent="0.5">
      <c r="A50" s="5" t="s">
        <v>156</v>
      </c>
      <c r="B50" s="8">
        <v>45342</v>
      </c>
      <c r="C50" s="6">
        <v>0.5</v>
      </c>
      <c r="D50" s="5" t="s">
        <v>122</v>
      </c>
      <c r="E50" s="5" t="s">
        <v>54</v>
      </c>
      <c r="F50" s="5" t="s">
        <v>67</v>
      </c>
      <c r="G50" s="5">
        <v>52</v>
      </c>
      <c r="H50" s="5">
        <v>4.7</v>
      </c>
      <c r="I50" s="5">
        <v>22</v>
      </c>
      <c r="J50" s="5">
        <v>1366.99</v>
      </c>
      <c r="K50" s="5">
        <v>0</v>
      </c>
      <c r="L50" s="5" t="s">
        <v>27</v>
      </c>
      <c r="M50" s="5" t="s">
        <v>42</v>
      </c>
      <c r="N50" s="5">
        <v>1</v>
      </c>
      <c r="O50" s="5" t="s">
        <v>35</v>
      </c>
      <c r="P50" s="5">
        <v>123.89</v>
      </c>
    </row>
    <row r="51" spans="1:16" x14ac:dyDescent="0.5">
      <c r="A51" s="5" t="s">
        <v>161</v>
      </c>
      <c r="B51" s="8">
        <v>45403</v>
      </c>
      <c r="C51" s="6">
        <v>0.41666666666666669</v>
      </c>
      <c r="D51" s="5" t="s">
        <v>122</v>
      </c>
      <c r="E51" s="5" t="s">
        <v>58</v>
      </c>
      <c r="F51" s="5" t="s">
        <v>67</v>
      </c>
      <c r="G51" s="5">
        <v>52</v>
      </c>
      <c r="H51" s="5">
        <v>1.1000000000000001</v>
      </c>
      <c r="I51" s="5">
        <v>55</v>
      </c>
      <c r="J51" s="5">
        <v>157.27000000000001</v>
      </c>
      <c r="K51" s="5">
        <v>0.5</v>
      </c>
      <c r="L51" s="5" t="s">
        <v>834</v>
      </c>
      <c r="M51" s="5" t="s">
        <v>28</v>
      </c>
      <c r="N51" s="5">
        <v>3</v>
      </c>
      <c r="O51" s="5" t="s">
        <v>836</v>
      </c>
      <c r="P51" s="5">
        <v>241.53</v>
      </c>
    </row>
    <row r="52" spans="1:16" x14ac:dyDescent="0.5">
      <c r="A52" s="5" t="s">
        <v>163</v>
      </c>
      <c r="B52" s="8">
        <v>45379</v>
      </c>
      <c r="C52" s="6">
        <v>0.36041666666666666</v>
      </c>
      <c r="D52" s="5" t="s">
        <v>164</v>
      </c>
      <c r="E52" s="5" t="s">
        <v>54</v>
      </c>
      <c r="F52" s="5" t="s">
        <v>18</v>
      </c>
      <c r="G52" s="5">
        <v>23</v>
      </c>
      <c r="H52" s="5">
        <v>2.2000000000000002</v>
      </c>
      <c r="I52" s="5">
        <v>19</v>
      </c>
      <c r="J52" s="5">
        <v>315.25</v>
      </c>
      <c r="K52" s="5">
        <v>150</v>
      </c>
      <c r="L52" s="5" t="s">
        <v>68</v>
      </c>
      <c r="M52" s="5" t="s">
        <v>28</v>
      </c>
      <c r="N52" s="5">
        <v>2</v>
      </c>
      <c r="O52" s="5" t="s">
        <v>35</v>
      </c>
      <c r="P52" s="5">
        <v>103.81</v>
      </c>
    </row>
    <row r="53" spans="1:16" x14ac:dyDescent="0.5">
      <c r="A53" s="5" t="s">
        <v>169</v>
      </c>
      <c r="B53" s="8">
        <v>45458</v>
      </c>
      <c r="C53" s="6">
        <v>0.5</v>
      </c>
      <c r="D53" s="5" t="s">
        <v>839</v>
      </c>
      <c r="E53" s="5" t="s">
        <v>71</v>
      </c>
      <c r="F53" s="5" t="s">
        <v>67</v>
      </c>
      <c r="G53" s="5">
        <v>43</v>
      </c>
      <c r="H53" s="5">
        <v>4.7</v>
      </c>
      <c r="I53" s="5">
        <v>49</v>
      </c>
      <c r="J53" s="5">
        <v>548.23</v>
      </c>
      <c r="K53" s="5">
        <v>0</v>
      </c>
      <c r="L53" s="5" t="s">
        <v>27</v>
      </c>
      <c r="M53" s="5" t="s">
        <v>59</v>
      </c>
      <c r="N53" s="5">
        <v>7</v>
      </c>
      <c r="O53" s="5" t="s">
        <v>836</v>
      </c>
      <c r="P53" s="5">
        <v>-0.13</v>
      </c>
    </row>
    <row r="54" spans="1:16" x14ac:dyDescent="0.5">
      <c r="A54" s="5" t="s">
        <v>170</v>
      </c>
      <c r="B54" s="8">
        <v>45310</v>
      </c>
      <c r="C54" s="6">
        <v>0.5</v>
      </c>
      <c r="D54" s="5" t="s">
        <v>81</v>
      </c>
      <c r="E54" s="5" t="s">
        <v>71</v>
      </c>
      <c r="F54" s="5" t="s">
        <v>18</v>
      </c>
      <c r="G54" s="5">
        <v>60</v>
      </c>
      <c r="H54" s="5">
        <v>3.6</v>
      </c>
      <c r="I54" s="5">
        <v>0</v>
      </c>
      <c r="J54" s="5">
        <v>2460.9899999999998</v>
      </c>
      <c r="K54" s="5">
        <v>0.2</v>
      </c>
      <c r="L54" s="5" t="s">
        <v>837</v>
      </c>
      <c r="M54" s="5" t="s">
        <v>28</v>
      </c>
      <c r="N54" s="5">
        <v>6</v>
      </c>
      <c r="O54" s="5" t="s">
        <v>43</v>
      </c>
      <c r="P54" s="5">
        <v>147.84</v>
      </c>
    </row>
    <row r="55" spans="1:16" x14ac:dyDescent="0.5">
      <c r="A55" s="5" t="s">
        <v>171</v>
      </c>
      <c r="B55" s="8">
        <v>45367</v>
      </c>
      <c r="C55" s="6">
        <v>0.5</v>
      </c>
      <c r="D55" s="5" t="s">
        <v>866</v>
      </c>
      <c r="E55" s="5" t="s">
        <v>24</v>
      </c>
      <c r="F55" s="5" t="s">
        <v>97</v>
      </c>
      <c r="G55" s="5">
        <v>63</v>
      </c>
      <c r="H55" s="5">
        <v>4.4000000000000004</v>
      </c>
      <c r="I55" s="5">
        <v>36</v>
      </c>
      <c r="J55" s="5">
        <v>2333.2199999999998</v>
      </c>
      <c r="K55" s="5">
        <v>120</v>
      </c>
      <c r="L55" s="5" t="s">
        <v>68</v>
      </c>
      <c r="M55" s="5" t="s">
        <v>28</v>
      </c>
      <c r="N55" s="5">
        <v>7</v>
      </c>
      <c r="O55" s="5" t="s">
        <v>21</v>
      </c>
      <c r="P55" s="5">
        <v>68.36</v>
      </c>
    </row>
    <row r="56" spans="1:16" x14ac:dyDescent="0.5">
      <c r="A56" s="5" t="s">
        <v>845</v>
      </c>
      <c r="B56" s="8">
        <v>45346</v>
      </c>
      <c r="C56" s="6">
        <v>0.5</v>
      </c>
      <c r="D56" s="5" t="s">
        <v>31</v>
      </c>
      <c r="E56" s="5" t="s">
        <v>88</v>
      </c>
      <c r="F56" s="5" t="s">
        <v>101</v>
      </c>
      <c r="G56" s="5">
        <v>42</v>
      </c>
      <c r="H56" s="5">
        <v>3.3</v>
      </c>
      <c r="I56" s="5">
        <v>73</v>
      </c>
      <c r="J56" s="5">
        <v>1589.32</v>
      </c>
      <c r="K56" s="5">
        <v>75</v>
      </c>
      <c r="L56" s="5" t="s">
        <v>103</v>
      </c>
      <c r="M56" s="5" t="s">
        <v>42</v>
      </c>
      <c r="N56" s="5">
        <v>9</v>
      </c>
      <c r="O56" s="5" t="s">
        <v>43</v>
      </c>
      <c r="P56" s="5">
        <v>46.62</v>
      </c>
    </row>
    <row r="57" spans="1:16" x14ac:dyDescent="0.5">
      <c r="A57" s="5" t="s">
        <v>176</v>
      </c>
      <c r="B57" s="8">
        <v>45480</v>
      </c>
      <c r="C57" s="6">
        <v>0.42916666666666664</v>
      </c>
      <c r="D57" s="5" t="s">
        <v>23</v>
      </c>
      <c r="E57" s="5" t="s">
        <v>93</v>
      </c>
      <c r="F57" s="5" t="s">
        <v>25</v>
      </c>
      <c r="G57" s="5">
        <v>57</v>
      </c>
      <c r="H57" s="5">
        <v>1.7</v>
      </c>
      <c r="I57" s="5">
        <v>28</v>
      </c>
      <c r="J57" s="5">
        <v>2056.1999999999998</v>
      </c>
      <c r="K57" s="5">
        <v>120</v>
      </c>
      <c r="L57" s="5" t="s">
        <v>73</v>
      </c>
      <c r="M57" s="5" t="s">
        <v>59</v>
      </c>
      <c r="N57" s="5">
        <v>2</v>
      </c>
      <c r="O57" s="5" t="s">
        <v>35</v>
      </c>
      <c r="P57" s="5">
        <v>223.19</v>
      </c>
    </row>
    <row r="58" spans="1:16" x14ac:dyDescent="0.5">
      <c r="A58" s="5" t="s">
        <v>179</v>
      </c>
      <c r="B58" s="8">
        <v>45325</v>
      </c>
      <c r="C58" s="6">
        <v>0.5</v>
      </c>
      <c r="D58" s="5" t="s">
        <v>839</v>
      </c>
      <c r="E58" s="5" t="s">
        <v>146</v>
      </c>
      <c r="F58" s="5" t="s">
        <v>97</v>
      </c>
      <c r="G58" s="5">
        <v>35</v>
      </c>
      <c r="H58" s="5">
        <v>4.5</v>
      </c>
      <c r="I58" s="5">
        <v>77</v>
      </c>
      <c r="J58" s="5">
        <v>0</v>
      </c>
      <c r="K58" s="5">
        <v>150</v>
      </c>
      <c r="L58" s="5" t="s">
        <v>834</v>
      </c>
      <c r="M58" s="5" t="s">
        <v>59</v>
      </c>
      <c r="N58" s="5">
        <v>7</v>
      </c>
      <c r="O58" s="5" t="s">
        <v>35</v>
      </c>
      <c r="P58" s="5">
        <v>13.59</v>
      </c>
    </row>
    <row r="59" spans="1:16" x14ac:dyDescent="0.5">
      <c r="A59" s="5" t="s">
        <v>180</v>
      </c>
      <c r="B59" s="8">
        <v>45379</v>
      </c>
      <c r="C59" s="6">
        <v>0.47013888888888888</v>
      </c>
      <c r="D59" s="5" t="s">
        <v>46</v>
      </c>
      <c r="E59" s="5" t="s">
        <v>49</v>
      </c>
      <c r="F59" s="5" t="s">
        <v>55</v>
      </c>
      <c r="G59" s="5">
        <v>28</v>
      </c>
      <c r="H59" s="5">
        <v>4.5</v>
      </c>
      <c r="I59" s="5">
        <v>38</v>
      </c>
      <c r="J59" s="5">
        <v>715.93</v>
      </c>
      <c r="K59" s="5">
        <v>50</v>
      </c>
      <c r="L59" s="5" t="s">
        <v>834</v>
      </c>
      <c r="M59" s="5" t="s">
        <v>42</v>
      </c>
      <c r="N59" s="5">
        <v>4</v>
      </c>
      <c r="O59" s="5" t="s">
        <v>43</v>
      </c>
      <c r="P59" s="5">
        <v>91.42</v>
      </c>
    </row>
    <row r="60" spans="1:16" x14ac:dyDescent="0.5">
      <c r="A60" s="5" t="s">
        <v>845</v>
      </c>
      <c r="B60" s="8">
        <v>45379</v>
      </c>
      <c r="C60" s="6">
        <v>0.5</v>
      </c>
      <c r="D60" s="5" t="s">
        <v>70</v>
      </c>
      <c r="E60" s="5" t="s">
        <v>93</v>
      </c>
      <c r="F60" s="5" t="s">
        <v>55</v>
      </c>
      <c r="G60" s="5">
        <v>27</v>
      </c>
      <c r="H60" s="5">
        <v>3.3</v>
      </c>
      <c r="I60" s="5">
        <v>36</v>
      </c>
      <c r="J60" s="5">
        <v>1167.44</v>
      </c>
      <c r="K60" s="5">
        <v>50</v>
      </c>
      <c r="L60" s="5" t="s">
        <v>837</v>
      </c>
      <c r="M60" s="5" t="s">
        <v>28</v>
      </c>
      <c r="N60" s="5">
        <v>6</v>
      </c>
      <c r="O60" s="5" t="s">
        <v>43</v>
      </c>
      <c r="P60" s="5">
        <v>11.4</v>
      </c>
    </row>
    <row r="61" spans="1:16" x14ac:dyDescent="0.5">
      <c r="A61" s="5" t="s">
        <v>184</v>
      </c>
      <c r="B61" s="8">
        <v>45447</v>
      </c>
      <c r="C61" s="6">
        <v>0.40486111111111112</v>
      </c>
      <c r="D61" s="5" t="s">
        <v>843</v>
      </c>
      <c r="E61" s="5" t="s">
        <v>54</v>
      </c>
      <c r="F61" s="5" t="s">
        <v>185</v>
      </c>
      <c r="G61" s="5">
        <v>25</v>
      </c>
      <c r="H61" s="5">
        <v>3.6</v>
      </c>
      <c r="I61" s="5">
        <v>71</v>
      </c>
      <c r="J61" s="5">
        <v>2446.92</v>
      </c>
      <c r="K61" s="5">
        <v>50</v>
      </c>
      <c r="L61" s="5" t="s">
        <v>837</v>
      </c>
      <c r="M61" s="5" t="s">
        <v>42</v>
      </c>
      <c r="N61" s="5">
        <v>1</v>
      </c>
      <c r="O61" s="5" t="s">
        <v>51</v>
      </c>
      <c r="P61" s="5">
        <v>-66.86</v>
      </c>
    </row>
    <row r="62" spans="1:16" x14ac:dyDescent="0.5">
      <c r="A62" s="5" t="s">
        <v>188</v>
      </c>
      <c r="B62" s="8">
        <v>45452</v>
      </c>
      <c r="C62" s="6">
        <v>0.21249999999999999</v>
      </c>
      <c r="D62" s="5" t="s">
        <v>70</v>
      </c>
      <c r="E62" s="5" t="s">
        <v>146</v>
      </c>
      <c r="F62" s="5" t="s">
        <v>25</v>
      </c>
      <c r="G62" s="5">
        <v>59</v>
      </c>
      <c r="H62" s="5">
        <v>1.3</v>
      </c>
      <c r="I62" s="5">
        <v>45</v>
      </c>
      <c r="J62" s="5">
        <v>257.82</v>
      </c>
      <c r="K62" s="5">
        <v>100</v>
      </c>
      <c r="L62" s="5" t="s">
        <v>103</v>
      </c>
      <c r="M62" s="5" t="s">
        <v>42</v>
      </c>
      <c r="N62" s="5">
        <v>3</v>
      </c>
      <c r="O62" s="5" t="s">
        <v>43</v>
      </c>
      <c r="P62" s="5">
        <v>178.39</v>
      </c>
    </row>
    <row r="63" spans="1:16" x14ac:dyDescent="0.5">
      <c r="A63" s="5" t="s">
        <v>190</v>
      </c>
      <c r="B63" s="8">
        <v>45491</v>
      </c>
      <c r="C63" s="6">
        <v>0.38194444444444442</v>
      </c>
      <c r="D63" s="5" t="s">
        <v>866</v>
      </c>
      <c r="E63" s="5" t="s">
        <v>54</v>
      </c>
      <c r="F63" s="5" t="s">
        <v>97</v>
      </c>
      <c r="G63" s="5">
        <v>28</v>
      </c>
      <c r="H63" s="5">
        <v>2</v>
      </c>
      <c r="I63" s="5">
        <v>51</v>
      </c>
      <c r="J63" s="5">
        <v>1724.41</v>
      </c>
      <c r="K63" s="5">
        <v>0</v>
      </c>
      <c r="L63" s="5" t="s">
        <v>834</v>
      </c>
      <c r="M63" s="5" t="s">
        <v>28</v>
      </c>
      <c r="N63" s="5">
        <v>1</v>
      </c>
      <c r="O63" s="5" t="s">
        <v>51</v>
      </c>
      <c r="P63" s="5">
        <v>136.38</v>
      </c>
    </row>
    <row r="64" spans="1:16" x14ac:dyDescent="0.5">
      <c r="A64" s="5" t="s">
        <v>194</v>
      </c>
      <c r="B64" s="8">
        <v>45373</v>
      </c>
      <c r="C64" s="6">
        <v>0.5</v>
      </c>
      <c r="D64" s="5" t="s">
        <v>122</v>
      </c>
      <c r="E64" s="5" t="s">
        <v>88</v>
      </c>
      <c r="F64" s="5" t="s">
        <v>67</v>
      </c>
      <c r="G64" s="5">
        <v>47</v>
      </c>
      <c r="H64" s="5">
        <v>0</v>
      </c>
      <c r="I64" s="5">
        <v>51</v>
      </c>
      <c r="J64" s="5">
        <v>1987.13</v>
      </c>
      <c r="K64" s="5">
        <v>0.2</v>
      </c>
      <c r="L64" s="5" t="s">
        <v>103</v>
      </c>
      <c r="M64" s="5" t="s">
        <v>28</v>
      </c>
      <c r="N64" s="5">
        <v>0</v>
      </c>
      <c r="O64" s="5" t="s">
        <v>840</v>
      </c>
      <c r="P64" s="5">
        <v>98.71</v>
      </c>
    </row>
    <row r="65" spans="1:16" x14ac:dyDescent="0.5">
      <c r="A65" s="5" t="s">
        <v>844</v>
      </c>
      <c r="B65" s="8">
        <v>45292</v>
      </c>
      <c r="C65" s="6">
        <v>0.5</v>
      </c>
      <c r="D65" s="5" t="s">
        <v>31</v>
      </c>
      <c r="E65" s="5" t="s">
        <v>24</v>
      </c>
      <c r="F65" s="5" t="s">
        <v>101</v>
      </c>
      <c r="G65" s="5">
        <v>62</v>
      </c>
      <c r="H65" s="5">
        <v>2.8</v>
      </c>
      <c r="I65" s="5">
        <v>27</v>
      </c>
      <c r="J65" s="5">
        <v>1322.92</v>
      </c>
      <c r="K65" s="5">
        <v>0.6</v>
      </c>
      <c r="L65" s="5" t="s">
        <v>103</v>
      </c>
      <c r="M65" s="5" t="s">
        <v>59</v>
      </c>
      <c r="N65" s="5">
        <v>6</v>
      </c>
      <c r="O65" s="5" t="s">
        <v>83</v>
      </c>
      <c r="P65" s="5">
        <v>231.37</v>
      </c>
    </row>
    <row r="66" spans="1:16" x14ac:dyDescent="0.5">
      <c r="A66" s="5" t="s">
        <v>198</v>
      </c>
      <c r="B66" s="8">
        <v>45387</v>
      </c>
      <c r="C66" s="6">
        <v>0.5</v>
      </c>
      <c r="D66" s="5" t="s">
        <v>867</v>
      </c>
      <c r="E66" s="5" t="s">
        <v>93</v>
      </c>
      <c r="F66" s="5" t="s">
        <v>97</v>
      </c>
      <c r="G66" s="5">
        <v>0</v>
      </c>
      <c r="H66" s="5">
        <v>1.7</v>
      </c>
      <c r="I66" s="5">
        <v>65</v>
      </c>
      <c r="J66" s="5">
        <v>1300.78</v>
      </c>
      <c r="K66" s="5">
        <v>75</v>
      </c>
      <c r="L66" s="5" t="s">
        <v>68</v>
      </c>
      <c r="M66" s="5" t="s">
        <v>42</v>
      </c>
      <c r="N66" s="5">
        <v>5</v>
      </c>
      <c r="O66" s="5" t="s">
        <v>43</v>
      </c>
      <c r="P66" s="5">
        <v>-59.88</v>
      </c>
    </row>
    <row r="67" spans="1:16" x14ac:dyDescent="0.5">
      <c r="A67" s="5" t="s">
        <v>200</v>
      </c>
      <c r="B67" s="8">
        <v>45426</v>
      </c>
      <c r="C67" s="6">
        <v>0.35416666666666669</v>
      </c>
      <c r="D67" s="5" t="s">
        <v>37</v>
      </c>
      <c r="E67" s="5" t="s">
        <v>88</v>
      </c>
      <c r="F67" s="5" t="s">
        <v>61</v>
      </c>
      <c r="G67" s="5">
        <v>35</v>
      </c>
      <c r="H67" s="5">
        <v>0</v>
      </c>
      <c r="I67" s="5">
        <v>60</v>
      </c>
      <c r="J67" s="5">
        <v>1945.08</v>
      </c>
      <c r="K67" s="5">
        <v>0</v>
      </c>
      <c r="L67" s="5" t="s">
        <v>68</v>
      </c>
      <c r="M67" s="5" t="s">
        <v>28</v>
      </c>
      <c r="N67" s="5">
        <v>7</v>
      </c>
      <c r="O67" s="5" t="s">
        <v>83</v>
      </c>
      <c r="P67" s="5">
        <v>-22.68</v>
      </c>
    </row>
    <row r="68" spans="1:16" x14ac:dyDescent="0.5">
      <c r="A68" s="5" t="s">
        <v>203</v>
      </c>
      <c r="B68" s="8">
        <v>45403</v>
      </c>
      <c r="C68" s="6">
        <v>0.5</v>
      </c>
      <c r="D68" s="5" t="s">
        <v>112</v>
      </c>
      <c r="E68" s="5" t="s">
        <v>146</v>
      </c>
      <c r="F68" s="5" t="s">
        <v>33</v>
      </c>
      <c r="G68" s="5">
        <v>18</v>
      </c>
      <c r="H68" s="5">
        <v>4.8</v>
      </c>
      <c r="I68" s="5">
        <v>19</v>
      </c>
      <c r="J68" s="5">
        <v>553.35</v>
      </c>
      <c r="K68" s="5">
        <v>120</v>
      </c>
      <c r="L68" s="5" t="s">
        <v>68</v>
      </c>
      <c r="M68" s="5" t="s">
        <v>59</v>
      </c>
      <c r="N68" s="5">
        <v>3</v>
      </c>
      <c r="O68" s="5" t="s">
        <v>836</v>
      </c>
      <c r="P68" s="5">
        <v>153.96</v>
      </c>
    </row>
    <row r="69" spans="1:16" x14ac:dyDescent="0.5">
      <c r="A69" s="5" t="s">
        <v>204</v>
      </c>
      <c r="B69" s="8">
        <v>45359</v>
      </c>
      <c r="C69" s="6">
        <v>0.5</v>
      </c>
      <c r="D69" s="5" t="s">
        <v>866</v>
      </c>
      <c r="E69" s="5" t="s">
        <v>24</v>
      </c>
      <c r="F69" s="5" t="s">
        <v>67</v>
      </c>
      <c r="G69" s="5">
        <v>54</v>
      </c>
      <c r="H69" s="5">
        <v>3.7</v>
      </c>
      <c r="I69" s="5">
        <v>19</v>
      </c>
      <c r="J69" s="5">
        <v>0</v>
      </c>
      <c r="K69" s="5">
        <v>0</v>
      </c>
      <c r="L69" s="5" t="s">
        <v>73</v>
      </c>
      <c r="M69" s="5" t="s">
        <v>28</v>
      </c>
      <c r="N69" s="5">
        <v>2</v>
      </c>
      <c r="O69" s="5" t="s">
        <v>83</v>
      </c>
      <c r="P69" s="5">
        <v>0</v>
      </c>
    </row>
    <row r="70" spans="1:16" x14ac:dyDescent="0.5">
      <c r="A70" s="5" t="s">
        <v>205</v>
      </c>
      <c r="B70" s="8">
        <v>45403</v>
      </c>
      <c r="C70" s="6">
        <v>0.5</v>
      </c>
      <c r="D70" s="5" t="s">
        <v>839</v>
      </c>
      <c r="E70" s="5" t="s">
        <v>88</v>
      </c>
      <c r="F70" s="5" t="s">
        <v>39</v>
      </c>
      <c r="G70" s="5">
        <v>18</v>
      </c>
      <c r="H70" s="5">
        <v>2.2000000000000002</v>
      </c>
      <c r="I70" s="5">
        <v>76</v>
      </c>
      <c r="J70" s="5">
        <v>0</v>
      </c>
      <c r="K70" s="5">
        <v>0.2</v>
      </c>
      <c r="L70" s="5" t="s">
        <v>834</v>
      </c>
      <c r="M70" s="5" t="s">
        <v>28</v>
      </c>
      <c r="N70" s="5">
        <v>9</v>
      </c>
      <c r="O70" s="5" t="s">
        <v>43</v>
      </c>
      <c r="P70" s="5">
        <v>41.9</v>
      </c>
    </row>
    <row r="71" spans="1:16" x14ac:dyDescent="0.5">
      <c r="A71" s="5" t="s">
        <v>208</v>
      </c>
      <c r="B71" s="8">
        <v>45329</v>
      </c>
      <c r="C71" s="6">
        <v>0.5</v>
      </c>
      <c r="D71" s="5" t="s">
        <v>31</v>
      </c>
      <c r="E71" s="5" t="s">
        <v>71</v>
      </c>
      <c r="F71" s="5" t="s">
        <v>39</v>
      </c>
      <c r="G71" s="5">
        <v>44</v>
      </c>
      <c r="H71" s="5">
        <v>3.3</v>
      </c>
      <c r="I71" s="5">
        <v>27</v>
      </c>
      <c r="J71" s="5">
        <v>2321.33</v>
      </c>
      <c r="K71" s="5">
        <v>0.2</v>
      </c>
      <c r="L71" s="5" t="s">
        <v>103</v>
      </c>
      <c r="M71" s="5" t="s">
        <v>28</v>
      </c>
      <c r="N71" s="5">
        <v>7</v>
      </c>
      <c r="O71" s="5" t="s">
        <v>35</v>
      </c>
      <c r="P71" s="5">
        <v>52.57</v>
      </c>
    </row>
    <row r="72" spans="1:16" x14ac:dyDescent="0.5">
      <c r="A72" s="5" t="s">
        <v>209</v>
      </c>
      <c r="B72" s="8">
        <v>45304</v>
      </c>
      <c r="C72" s="6">
        <v>0.5</v>
      </c>
      <c r="D72" s="5" t="s">
        <v>843</v>
      </c>
      <c r="E72" s="5" t="s">
        <v>54</v>
      </c>
      <c r="F72" s="5" t="s">
        <v>97</v>
      </c>
      <c r="G72" s="5">
        <v>38</v>
      </c>
      <c r="H72" s="5">
        <v>2.7</v>
      </c>
      <c r="I72" s="5">
        <v>39</v>
      </c>
      <c r="J72" s="5">
        <v>1171.29</v>
      </c>
      <c r="K72" s="5">
        <v>100</v>
      </c>
      <c r="L72" s="5" t="s">
        <v>103</v>
      </c>
      <c r="M72" s="5" t="s">
        <v>42</v>
      </c>
      <c r="N72" s="5">
        <v>9</v>
      </c>
      <c r="O72" s="5" t="s">
        <v>840</v>
      </c>
      <c r="P72" s="5">
        <v>-16.39</v>
      </c>
    </row>
    <row r="73" spans="1:16" x14ac:dyDescent="0.5">
      <c r="A73" s="5" t="s">
        <v>210</v>
      </c>
      <c r="B73" s="8">
        <v>45408</v>
      </c>
      <c r="C73" s="6">
        <v>0.5</v>
      </c>
      <c r="D73" s="5" t="s">
        <v>31</v>
      </c>
      <c r="E73" s="5" t="s">
        <v>93</v>
      </c>
      <c r="F73" s="5" t="s">
        <v>67</v>
      </c>
      <c r="G73" s="5">
        <v>28</v>
      </c>
      <c r="H73" s="5">
        <v>2</v>
      </c>
      <c r="I73" s="5">
        <v>26</v>
      </c>
      <c r="J73" s="5">
        <v>798.47</v>
      </c>
      <c r="K73" s="5">
        <v>0.6</v>
      </c>
      <c r="L73" s="5" t="s">
        <v>68</v>
      </c>
      <c r="M73" s="5" t="s">
        <v>59</v>
      </c>
      <c r="N73" s="5">
        <v>1</v>
      </c>
      <c r="O73" s="5" t="s">
        <v>43</v>
      </c>
      <c r="P73" s="5">
        <v>0</v>
      </c>
    </row>
    <row r="74" spans="1:16" x14ac:dyDescent="0.5">
      <c r="A74" s="5" t="s">
        <v>211</v>
      </c>
      <c r="B74" s="8">
        <v>45370</v>
      </c>
      <c r="C74" s="6">
        <v>0.5</v>
      </c>
      <c r="D74" s="5" t="s">
        <v>70</v>
      </c>
      <c r="E74" s="5" t="s">
        <v>88</v>
      </c>
      <c r="F74" s="5" t="s">
        <v>18</v>
      </c>
      <c r="G74" s="5">
        <v>56</v>
      </c>
      <c r="H74" s="5">
        <v>2.2000000000000002</v>
      </c>
      <c r="I74" s="5">
        <v>19</v>
      </c>
      <c r="J74" s="5">
        <v>920.36</v>
      </c>
      <c r="K74" s="5">
        <v>0.2</v>
      </c>
      <c r="L74" s="5" t="s">
        <v>73</v>
      </c>
      <c r="M74" s="5" t="s">
        <v>42</v>
      </c>
      <c r="N74" s="5">
        <v>10</v>
      </c>
      <c r="O74" s="5" t="s">
        <v>43</v>
      </c>
      <c r="P74" s="5">
        <v>158.02000000000001</v>
      </c>
    </row>
    <row r="75" spans="1:16" x14ac:dyDescent="0.5">
      <c r="A75" s="5" t="s">
        <v>216</v>
      </c>
      <c r="B75" s="8">
        <v>45485</v>
      </c>
      <c r="C75" s="6">
        <v>0.5</v>
      </c>
      <c r="D75" s="5" t="s">
        <v>843</v>
      </c>
      <c r="E75" s="5" t="s">
        <v>58</v>
      </c>
      <c r="F75" s="5" t="s">
        <v>97</v>
      </c>
      <c r="G75" s="5">
        <v>37</v>
      </c>
      <c r="H75" s="5">
        <v>2.8</v>
      </c>
      <c r="I75" s="5">
        <v>58</v>
      </c>
      <c r="J75" s="5">
        <v>1152.1199999999999</v>
      </c>
      <c r="K75" s="5">
        <v>0.5</v>
      </c>
      <c r="L75" s="5" t="s">
        <v>73</v>
      </c>
      <c r="M75" s="5" t="s">
        <v>840</v>
      </c>
      <c r="N75" s="5">
        <v>3</v>
      </c>
      <c r="O75" s="5" t="s">
        <v>35</v>
      </c>
      <c r="P75" s="5">
        <v>-24.24</v>
      </c>
    </row>
    <row r="76" spans="1:16" x14ac:dyDescent="0.5">
      <c r="A76" s="5" t="s">
        <v>846</v>
      </c>
      <c r="B76" s="8">
        <v>45357</v>
      </c>
      <c r="C76" s="6">
        <v>0.26041666666666669</v>
      </c>
      <c r="D76" s="5" t="s">
        <v>861</v>
      </c>
      <c r="E76" s="5" t="s">
        <v>93</v>
      </c>
      <c r="F76" s="5" t="s">
        <v>67</v>
      </c>
      <c r="G76" s="5">
        <v>0</v>
      </c>
      <c r="H76" s="5">
        <v>1.4</v>
      </c>
      <c r="I76" s="5">
        <v>32</v>
      </c>
      <c r="J76" s="5">
        <v>1116.81</v>
      </c>
      <c r="K76" s="5">
        <v>120</v>
      </c>
      <c r="L76" s="5" t="s">
        <v>834</v>
      </c>
      <c r="M76" s="5" t="s">
        <v>28</v>
      </c>
      <c r="N76" s="5">
        <v>4</v>
      </c>
      <c r="O76" s="5" t="s">
        <v>83</v>
      </c>
      <c r="P76" s="5">
        <v>-67</v>
      </c>
    </row>
    <row r="77" spans="1:16" x14ac:dyDescent="0.5">
      <c r="A77" s="5" t="s">
        <v>221</v>
      </c>
      <c r="B77" s="8">
        <v>45394</v>
      </c>
      <c r="C77" s="6">
        <v>0.5</v>
      </c>
      <c r="D77" s="5" t="s">
        <v>70</v>
      </c>
      <c r="E77" s="5" t="s">
        <v>49</v>
      </c>
      <c r="F77" s="5" t="s">
        <v>33</v>
      </c>
      <c r="G77" s="5">
        <v>46</v>
      </c>
      <c r="H77" s="5">
        <v>2.5</v>
      </c>
      <c r="I77" s="5">
        <v>18</v>
      </c>
      <c r="J77" s="5">
        <v>2172.9299999999998</v>
      </c>
      <c r="K77" s="5">
        <v>50</v>
      </c>
      <c r="L77" s="5" t="s">
        <v>837</v>
      </c>
      <c r="M77" s="5" t="s">
        <v>28</v>
      </c>
      <c r="N77" s="5">
        <v>0</v>
      </c>
      <c r="O77" s="5" t="s">
        <v>836</v>
      </c>
      <c r="P77" s="5">
        <v>158.85</v>
      </c>
    </row>
    <row r="78" spans="1:16" x14ac:dyDescent="0.5">
      <c r="A78" s="5" t="s">
        <v>222</v>
      </c>
      <c r="B78" s="8">
        <v>45424</v>
      </c>
      <c r="C78" s="6">
        <v>0.24374999999999999</v>
      </c>
      <c r="D78" s="5" t="s">
        <v>122</v>
      </c>
      <c r="E78" s="5" t="s">
        <v>71</v>
      </c>
      <c r="F78" s="5" t="s">
        <v>78</v>
      </c>
      <c r="G78" s="5">
        <v>49</v>
      </c>
      <c r="H78" s="5">
        <v>1.3</v>
      </c>
      <c r="I78" s="5">
        <v>45</v>
      </c>
      <c r="J78" s="5">
        <v>907.53</v>
      </c>
      <c r="K78" s="5">
        <v>120</v>
      </c>
      <c r="L78" s="5" t="s">
        <v>27</v>
      </c>
      <c r="M78" s="5" t="s">
        <v>28</v>
      </c>
      <c r="N78" s="5">
        <v>8</v>
      </c>
      <c r="O78" s="5" t="s">
        <v>83</v>
      </c>
      <c r="P78" s="5">
        <v>135.61000000000001</v>
      </c>
    </row>
    <row r="79" spans="1:16" x14ac:dyDescent="0.5">
      <c r="A79" s="5" t="s">
        <v>223</v>
      </c>
      <c r="B79" s="8">
        <v>45292</v>
      </c>
      <c r="C79" s="6">
        <v>0.12916666666666668</v>
      </c>
      <c r="D79" s="5" t="s">
        <v>122</v>
      </c>
      <c r="E79" s="5" t="s">
        <v>24</v>
      </c>
      <c r="F79" s="5" t="s">
        <v>25</v>
      </c>
      <c r="G79" s="5">
        <v>63</v>
      </c>
      <c r="H79" s="5">
        <v>3.9</v>
      </c>
      <c r="I79" s="5">
        <v>63</v>
      </c>
      <c r="J79" s="5">
        <v>0</v>
      </c>
      <c r="K79" s="5">
        <v>0.2</v>
      </c>
      <c r="L79" s="5" t="s">
        <v>103</v>
      </c>
      <c r="M79" s="5" t="s">
        <v>42</v>
      </c>
      <c r="N79" s="5">
        <v>7</v>
      </c>
      <c r="O79" s="5" t="s">
        <v>21</v>
      </c>
      <c r="P79" s="5">
        <v>-40.15</v>
      </c>
    </row>
    <row r="80" spans="1:16" x14ac:dyDescent="0.5">
      <c r="A80" s="5" t="s">
        <v>224</v>
      </c>
      <c r="B80" s="8">
        <v>45340</v>
      </c>
      <c r="C80" s="6">
        <v>0.5</v>
      </c>
      <c r="D80" s="5" t="s">
        <v>843</v>
      </c>
      <c r="E80" s="5" t="s">
        <v>146</v>
      </c>
      <c r="F80" s="5" t="s">
        <v>78</v>
      </c>
      <c r="G80" s="5">
        <v>21</v>
      </c>
      <c r="H80" s="5">
        <v>2.7</v>
      </c>
      <c r="I80" s="5">
        <v>80</v>
      </c>
      <c r="J80" s="5">
        <v>1978.97</v>
      </c>
      <c r="K80" s="5">
        <v>50</v>
      </c>
      <c r="L80" s="5" t="s">
        <v>27</v>
      </c>
      <c r="M80" s="5" t="s">
        <v>28</v>
      </c>
      <c r="N80" s="5">
        <v>10</v>
      </c>
      <c r="O80" s="5" t="s">
        <v>836</v>
      </c>
      <c r="P80" s="5">
        <v>237.99</v>
      </c>
    </row>
    <row r="81" spans="1:16" x14ac:dyDescent="0.5">
      <c r="A81" s="5" t="s">
        <v>225</v>
      </c>
      <c r="B81" s="8">
        <v>45397</v>
      </c>
      <c r="C81" s="6">
        <v>0.35625000000000001</v>
      </c>
      <c r="D81" s="5" t="s">
        <v>31</v>
      </c>
      <c r="E81" s="5" t="s">
        <v>88</v>
      </c>
      <c r="F81" s="5" t="s">
        <v>101</v>
      </c>
      <c r="G81" s="5">
        <v>29</v>
      </c>
      <c r="H81" s="5">
        <v>3.8</v>
      </c>
      <c r="I81" s="5">
        <v>29</v>
      </c>
      <c r="J81" s="5">
        <v>1930.64</v>
      </c>
      <c r="K81" s="5">
        <v>150</v>
      </c>
      <c r="L81" s="5" t="s">
        <v>27</v>
      </c>
      <c r="M81" s="5" t="s">
        <v>59</v>
      </c>
      <c r="N81" s="5">
        <v>0</v>
      </c>
      <c r="O81" s="5" t="s">
        <v>840</v>
      </c>
      <c r="P81" s="5">
        <v>-32.04</v>
      </c>
    </row>
    <row r="82" spans="1:16" x14ac:dyDescent="0.5">
      <c r="A82" s="5" t="s">
        <v>226</v>
      </c>
      <c r="B82" s="8">
        <v>45333</v>
      </c>
      <c r="C82" s="6">
        <v>0.40694444444444444</v>
      </c>
      <c r="D82" s="5" t="s">
        <v>136</v>
      </c>
      <c r="E82" s="5" t="s">
        <v>17</v>
      </c>
      <c r="F82" s="5" t="s">
        <v>18</v>
      </c>
      <c r="G82" s="5">
        <v>62</v>
      </c>
      <c r="H82" s="5">
        <v>3.7</v>
      </c>
      <c r="I82" s="5">
        <v>64</v>
      </c>
      <c r="J82" s="5">
        <v>1111.43</v>
      </c>
      <c r="K82" s="5">
        <v>120</v>
      </c>
      <c r="L82" s="5" t="s">
        <v>840</v>
      </c>
      <c r="M82" s="5" t="s">
        <v>59</v>
      </c>
      <c r="N82" s="5">
        <v>8</v>
      </c>
      <c r="O82" s="5" t="s">
        <v>35</v>
      </c>
      <c r="P82" s="5">
        <v>133.72</v>
      </c>
    </row>
    <row r="83" spans="1:16" x14ac:dyDescent="0.5">
      <c r="A83" s="5" t="s">
        <v>227</v>
      </c>
      <c r="B83" s="8">
        <v>45490</v>
      </c>
      <c r="C83" s="6">
        <v>0.5</v>
      </c>
      <c r="D83" s="5" t="s">
        <v>136</v>
      </c>
      <c r="E83" s="5" t="s">
        <v>88</v>
      </c>
      <c r="F83" s="5" t="s">
        <v>101</v>
      </c>
      <c r="G83" s="5">
        <v>39</v>
      </c>
      <c r="H83" s="5">
        <v>4.7</v>
      </c>
      <c r="I83" s="5">
        <v>0</v>
      </c>
      <c r="J83" s="5">
        <v>2330.14</v>
      </c>
      <c r="K83" s="5">
        <v>150</v>
      </c>
      <c r="L83" s="5" t="s">
        <v>103</v>
      </c>
      <c r="M83" s="5" t="s">
        <v>28</v>
      </c>
      <c r="N83" s="5">
        <v>4</v>
      </c>
      <c r="O83" s="5" t="s">
        <v>35</v>
      </c>
      <c r="P83" s="5">
        <v>-27.41</v>
      </c>
    </row>
    <row r="84" spans="1:16" x14ac:dyDescent="0.5">
      <c r="A84" s="5" t="s">
        <v>231</v>
      </c>
      <c r="B84" s="8">
        <v>45346</v>
      </c>
      <c r="C84" s="6">
        <v>0.5</v>
      </c>
      <c r="D84" s="5" t="s">
        <v>66</v>
      </c>
      <c r="E84" s="5" t="s">
        <v>93</v>
      </c>
      <c r="F84" s="5" t="s">
        <v>838</v>
      </c>
      <c r="G84" s="5">
        <v>29</v>
      </c>
      <c r="H84" s="5">
        <v>3.2</v>
      </c>
      <c r="I84" s="5">
        <v>44</v>
      </c>
      <c r="J84" s="5">
        <v>2288.15</v>
      </c>
      <c r="K84" s="5">
        <v>100</v>
      </c>
      <c r="L84" s="5" t="s">
        <v>837</v>
      </c>
      <c r="M84" s="5" t="s">
        <v>28</v>
      </c>
      <c r="N84" s="5">
        <v>10</v>
      </c>
      <c r="O84" s="5" t="s">
        <v>21</v>
      </c>
      <c r="P84" s="5">
        <v>226.26</v>
      </c>
    </row>
    <row r="85" spans="1:16" x14ac:dyDescent="0.5">
      <c r="A85" s="5" t="s">
        <v>232</v>
      </c>
      <c r="B85" s="8">
        <v>45314</v>
      </c>
      <c r="C85" s="6">
        <v>0.4</v>
      </c>
      <c r="D85" s="5" t="s">
        <v>233</v>
      </c>
      <c r="E85" s="5" t="s">
        <v>49</v>
      </c>
      <c r="F85" s="5" t="s">
        <v>18</v>
      </c>
      <c r="G85" s="5">
        <v>64</v>
      </c>
      <c r="H85" s="5">
        <v>4.8</v>
      </c>
      <c r="I85" s="5">
        <v>0</v>
      </c>
      <c r="J85" s="5">
        <v>2201.9499999999998</v>
      </c>
      <c r="K85" s="5">
        <v>0</v>
      </c>
      <c r="L85" s="5" t="s">
        <v>103</v>
      </c>
      <c r="M85" s="5" t="s">
        <v>59</v>
      </c>
      <c r="N85" s="5">
        <v>4</v>
      </c>
      <c r="O85" s="5" t="s">
        <v>43</v>
      </c>
      <c r="P85" s="5">
        <v>-32.99</v>
      </c>
    </row>
    <row r="86" spans="1:16" x14ac:dyDescent="0.5">
      <c r="A86" s="5" t="s">
        <v>235</v>
      </c>
      <c r="B86" s="8">
        <v>45321</v>
      </c>
      <c r="C86" s="6">
        <v>0.25763888888888886</v>
      </c>
      <c r="D86" s="5" t="s">
        <v>122</v>
      </c>
      <c r="E86" s="5" t="s">
        <v>24</v>
      </c>
      <c r="F86" s="5" t="s">
        <v>97</v>
      </c>
      <c r="G86" s="5">
        <v>40</v>
      </c>
      <c r="H86" s="5">
        <v>3.6</v>
      </c>
      <c r="I86" s="5">
        <v>54</v>
      </c>
      <c r="J86" s="5">
        <v>286.14999999999998</v>
      </c>
      <c r="K86" s="5">
        <v>75</v>
      </c>
      <c r="L86" s="5" t="s">
        <v>103</v>
      </c>
      <c r="M86" s="5" t="s">
        <v>28</v>
      </c>
      <c r="N86" s="5">
        <v>1</v>
      </c>
      <c r="O86" s="5" t="s">
        <v>83</v>
      </c>
      <c r="P86" s="5">
        <v>164.14</v>
      </c>
    </row>
    <row r="87" spans="1:16" x14ac:dyDescent="0.5">
      <c r="A87" s="5" t="s">
        <v>238</v>
      </c>
      <c r="B87" s="8">
        <v>45479</v>
      </c>
      <c r="C87" s="6">
        <v>0.5</v>
      </c>
      <c r="D87" s="5" t="s">
        <v>81</v>
      </c>
      <c r="E87" s="5" t="s">
        <v>146</v>
      </c>
      <c r="F87" s="5" t="s">
        <v>18</v>
      </c>
      <c r="G87" s="5">
        <v>19</v>
      </c>
      <c r="H87" s="5">
        <v>3.5</v>
      </c>
      <c r="I87" s="5">
        <v>66</v>
      </c>
      <c r="J87" s="5">
        <v>1950.7</v>
      </c>
      <c r="K87" s="5">
        <v>0</v>
      </c>
      <c r="L87" s="5" t="s">
        <v>73</v>
      </c>
      <c r="M87" s="5" t="s">
        <v>42</v>
      </c>
      <c r="N87" s="5">
        <v>5</v>
      </c>
      <c r="O87" s="5" t="s">
        <v>35</v>
      </c>
      <c r="P87" s="5">
        <v>50.94</v>
      </c>
    </row>
    <row r="88" spans="1:16" x14ac:dyDescent="0.5">
      <c r="A88" s="5" t="s">
        <v>239</v>
      </c>
      <c r="B88" s="8">
        <v>45449</v>
      </c>
      <c r="C88" s="6">
        <v>0.23541666666666666</v>
      </c>
      <c r="D88" s="5" t="s">
        <v>136</v>
      </c>
      <c r="E88" s="5" t="s">
        <v>49</v>
      </c>
      <c r="F88" s="5" t="s">
        <v>25</v>
      </c>
      <c r="G88" s="5">
        <v>60</v>
      </c>
      <c r="H88" s="5">
        <v>4.5999999999999996</v>
      </c>
      <c r="I88" s="5">
        <v>75</v>
      </c>
      <c r="J88" s="5">
        <v>2304.61</v>
      </c>
      <c r="K88" s="5">
        <v>0</v>
      </c>
      <c r="L88" s="5" t="s">
        <v>27</v>
      </c>
      <c r="M88" s="5" t="s">
        <v>59</v>
      </c>
      <c r="N88" s="5">
        <v>3</v>
      </c>
      <c r="O88" s="5" t="s">
        <v>43</v>
      </c>
      <c r="P88" s="5">
        <v>135.6</v>
      </c>
    </row>
    <row r="89" spans="1:16" x14ac:dyDescent="0.5">
      <c r="A89" s="5" t="s">
        <v>245</v>
      </c>
      <c r="B89" s="8">
        <v>45331</v>
      </c>
      <c r="C89" s="6">
        <v>0.10555555555555556</v>
      </c>
      <c r="D89" s="5" t="s">
        <v>23</v>
      </c>
      <c r="E89" s="5" t="s">
        <v>71</v>
      </c>
      <c r="F89" s="5" t="s">
        <v>67</v>
      </c>
      <c r="G89" s="5">
        <v>54</v>
      </c>
      <c r="H89" s="5">
        <v>3.8</v>
      </c>
      <c r="I89" s="5">
        <v>30</v>
      </c>
      <c r="J89" s="5">
        <v>1899.8</v>
      </c>
      <c r="K89" s="5">
        <v>50</v>
      </c>
      <c r="L89" s="5" t="s">
        <v>834</v>
      </c>
      <c r="M89" s="5" t="s">
        <v>28</v>
      </c>
      <c r="N89" s="5">
        <v>7</v>
      </c>
      <c r="O89" s="5" t="s">
        <v>840</v>
      </c>
      <c r="P89" s="5">
        <v>-49.94</v>
      </c>
    </row>
    <row r="90" spans="1:16" x14ac:dyDescent="0.5">
      <c r="A90" s="5" t="s">
        <v>246</v>
      </c>
      <c r="B90" s="8">
        <v>45308</v>
      </c>
      <c r="C90" s="6">
        <v>0.5</v>
      </c>
      <c r="D90" s="5" t="s">
        <v>866</v>
      </c>
      <c r="E90" s="5" t="s">
        <v>88</v>
      </c>
      <c r="F90" s="5" t="s">
        <v>33</v>
      </c>
      <c r="G90" s="5">
        <v>51</v>
      </c>
      <c r="H90" s="5">
        <v>1.1000000000000001</v>
      </c>
      <c r="I90" s="5">
        <v>44</v>
      </c>
      <c r="J90" s="5">
        <v>1584.15</v>
      </c>
      <c r="K90" s="5">
        <v>0.1</v>
      </c>
      <c r="L90" s="5" t="s">
        <v>68</v>
      </c>
      <c r="M90" s="5" t="s">
        <v>28</v>
      </c>
      <c r="N90" s="5">
        <v>0</v>
      </c>
      <c r="O90" s="5" t="s">
        <v>836</v>
      </c>
      <c r="P90" s="5">
        <v>13.88</v>
      </c>
    </row>
    <row r="91" spans="1:16" x14ac:dyDescent="0.5">
      <c r="A91" s="5" t="s">
        <v>247</v>
      </c>
      <c r="B91" s="8">
        <v>45362</v>
      </c>
      <c r="C91" s="6">
        <v>0.3215277777777778</v>
      </c>
      <c r="D91" s="5" t="s">
        <v>248</v>
      </c>
      <c r="E91" s="5" t="s">
        <v>49</v>
      </c>
      <c r="F91" s="5" t="s">
        <v>101</v>
      </c>
      <c r="G91" s="5">
        <v>52</v>
      </c>
      <c r="H91" s="5">
        <v>3.3</v>
      </c>
      <c r="I91" s="5">
        <v>63</v>
      </c>
      <c r="J91" s="5">
        <v>1460.34</v>
      </c>
      <c r="K91" s="5">
        <v>100</v>
      </c>
      <c r="L91" s="5" t="s">
        <v>27</v>
      </c>
      <c r="M91" s="5" t="s">
        <v>28</v>
      </c>
      <c r="N91" s="5">
        <v>4</v>
      </c>
      <c r="O91" s="5" t="s">
        <v>836</v>
      </c>
      <c r="P91" s="5">
        <v>56.1</v>
      </c>
    </row>
    <row r="92" spans="1:16" x14ac:dyDescent="0.5">
      <c r="A92" s="5" t="s">
        <v>249</v>
      </c>
      <c r="B92" s="8">
        <v>45359</v>
      </c>
      <c r="C92" s="6">
        <v>0.5</v>
      </c>
      <c r="D92" s="5" t="s">
        <v>70</v>
      </c>
      <c r="E92" s="5" t="s">
        <v>24</v>
      </c>
      <c r="F92" s="5" t="s">
        <v>33</v>
      </c>
      <c r="G92" s="5">
        <v>30</v>
      </c>
      <c r="H92" s="5">
        <v>2</v>
      </c>
      <c r="I92" s="5">
        <v>44</v>
      </c>
      <c r="J92" s="5">
        <v>602.58000000000004</v>
      </c>
      <c r="K92" s="5">
        <v>50</v>
      </c>
      <c r="L92" s="5" t="s">
        <v>834</v>
      </c>
      <c r="M92" s="5" t="s">
        <v>28</v>
      </c>
      <c r="N92" s="5">
        <v>1</v>
      </c>
      <c r="O92" s="5" t="s">
        <v>43</v>
      </c>
      <c r="P92" s="5">
        <v>216.38</v>
      </c>
    </row>
    <row r="93" spans="1:16" x14ac:dyDescent="0.5">
      <c r="A93" s="5" t="s">
        <v>250</v>
      </c>
      <c r="B93" s="8">
        <v>45338</v>
      </c>
      <c r="C93" s="6">
        <v>0.5</v>
      </c>
      <c r="D93" s="5" t="s">
        <v>66</v>
      </c>
      <c r="E93" s="5" t="s">
        <v>838</v>
      </c>
      <c r="F93" s="5" t="s">
        <v>61</v>
      </c>
      <c r="G93" s="5">
        <v>62</v>
      </c>
      <c r="H93" s="5">
        <v>2.2999999999999998</v>
      </c>
      <c r="I93" s="5">
        <v>0</v>
      </c>
      <c r="J93" s="5">
        <v>1724.37</v>
      </c>
      <c r="K93" s="5">
        <v>0.2</v>
      </c>
      <c r="L93" s="5" t="s">
        <v>103</v>
      </c>
      <c r="M93" s="5" t="s">
        <v>59</v>
      </c>
      <c r="N93" s="5">
        <v>8</v>
      </c>
      <c r="O93" s="5" t="s">
        <v>43</v>
      </c>
      <c r="P93" s="5">
        <v>42.86</v>
      </c>
    </row>
    <row r="94" spans="1:16" x14ac:dyDescent="0.5">
      <c r="A94" s="5" t="s">
        <v>251</v>
      </c>
      <c r="B94" s="8">
        <v>45325</v>
      </c>
      <c r="C94" s="6">
        <v>0.31874999999999998</v>
      </c>
      <c r="D94" s="5" t="s">
        <v>866</v>
      </c>
      <c r="E94" s="5" t="s">
        <v>58</v>
      </c>
      <c r="F94" s="5" t="s">
        <v>39</v>
      </c>
      <c r="G94" s="5">
        <v>51</v>
      </c>
      <c r="H94" s="5">
        <v>2.2999999999999998</v>
      </c>
      <c r="I94" s="5">
        <v>47</v>
      </c>
      <c r="J94" s="5">
        <v>1457.89</v>
      </c>
      <c r="K94" s="5">
        <v>0.15</v>
      </c>
      <c r="L94" s="5" t="s">
        <v>834</v>
      </c>
      <c r="M94" s="5" t="s">
        <v>28</v>
      </c>
      <c r="N94" s="5">
        <v>9</v>
      </c>
      <c r="O94" s="5" t="s">
        <v>51</v>
      </c>
      <c r="P94" s="5">
        <v>-73.45</v>
      </c>
    </row>
    <row r="95" spans="1:16" x14ac:dyDescent="0.5">
      <c r="A95" s="5" t="s">
        <v>845</v>
      </c>
      <c r="B95" s="8">
        <v>45478</v>
      </c>
      <c r="C95" s="6">
        <v>0.33333333333333331</v>
      </c>
      <c r="D95" s="5" t="s">
        <v>31</v>
      </c>
      <c r="E95" s="5" t="s">
        <v>93</v>
      </c>
      <c r="F95" s="5" t="s">
        <v>838</v>
      </c>
      <c r="G95" s="5">
        <v>23</v>
      </c>
      <c r="H95" s="5">
        <v>3.5</v>
      </c>
      <c r="I95" s="5">
        <v>74</v>
      </c>
      <c r="J95" s="5">
        <v>2227.42</v>
      </c>
      <c r="K95" s="5">
        <v>0.2</v>
      </c>
      <c r="L95" s="5" t="s">
        <v>837</v>
      </c>
      <c r="M95" s="5" t="s">
        <v>28</v>
      </c>
      <c r="N95" s="5">
        <v>8</v>
      </c>
      <c r="O95" s="5" t="s">
        <v>43</v>
      </c>
      <c r="P95" s="5">
        <v>9.9</v>
      </c>
    </row>
    <row r="96" spans="1:16" x14ac:dyDescent="0.5">
      <c r="A96" s="5" t="s">
        <v>259</v>
      </c>
      <c r="B96" s="8">
        <v>45388</v>
      </c>
      <c r="C96" s="6">
        <v>0.5</v>
      </c>
      <c r="D96" s="5" t="s">
        <v>70</v>
      </c>
      <c r="E96" s="5" t="s">
        <v>54</v>
      </c>
      <c r="F96" s="5" t="s">
        <v>260</v>
      </c>
      <c r="G96" s="5">
        <v>58</v>
      </c>
      <c r="H96" s="5">
        <v>2.8</v>
      </c>
      <c r="I96" s="5">
        <v>77</v>
      </c>
      <c r="J96" s="5">
        <v>0</v>
      </c>
      <c r="K96" s="5">
        <v>0</v>
      </c>
      <c r="L96" s="5" t="s">
        <v>840</v>
      </c>
      <c r="M96" s="5" t="s">
        <v>28</v>
      </c>
      <c r="N96" s="5">
        <v>1</v>
      </c>
      <c r="O96" s="5" t="s">
        <v>35</v>
      </c>
      <c r="P96" s="5">
        <v>-8.33</v>
      </c>
    </row>
    <row r="97" spans="1:16" x14ac:dyDescent="0.5">
      <c r="A97" s="5" t="s">
        <v>261</v>
      </c>
      <c r="B97" s="8">
        <v>45387</v>
      </c>
      <c r="C97" s="6">
        <v>0.15902777777777777</v>
      </c>
      <c r="D97" s="5" t="s">
        <v>46</v>
      </c>
      <c r="E97" s="5" t="s">
        <v>71</v>
      </c>
      <c r="F97" s="5" t="s">
        <v>101</v>
      </c>
      <c r="G97" s="5">
        <v>33</v>
      </c>
      <c r="H97" s="5">
        <v>4.9000000000000004</v>
      </c>
      <c r="I97" s="5">
        <v>17</v>
      </c>
      <c r="J97" s="5">
        <v>594.04999999999995</v>
      </c>
      <c r="K97" s="5">
        <v>0</v>
      </c>
      <c r="L97" s="5" t="s">
        <v>27</v>
      </c>
      <c r="M97" s="5" t="s">
        <v>59</v>
      </c>
      <c r="N97" s="5">
        <v>9</v>
      </c>
      <c r="O97" s="5" t="s">
        <v>51</v>
      </c>
      <c r="P97" s="5">
        <v>18.61</v>
      </c>
    </row>
    <row r="98" spans="1:16" x14ac:dyDescent="0.5">
      <c r="A98" s="5" t="s">
        <v>262</v>
      </c>
      <c r="B98" s="8">
        <v>45320</v>
      </c>
      <c r="C98" s="6">
        <v>0.33541666666666664</v>
      </c>
      <c r="D98" s="5" t="s">
        <v>843</v>
      </c>
      <c r="E98" s="5" t="s">
        <v>54</v>
      </c>
      <c r="F98" s="5" t="s">
        <v>39</v>
      </c>
      <c r="G98" s="5">
        <v>23</v>
      </c>
      <c r="H98" s="5">
        <v>3</v>
      </c>
      <c r="I98" s="5">
        <v>58</v>
      </c>
      <c r="J98" s="5">
        <v>2335.42</v>
      </c>
      <c r="K98" s="5">
        <v>0</v>
      </c>
      <c r="L98" s="5" t="s">
        <v>73</v>
      </c>
      <c r="M98" s="5" t="s">
        <v>42</v>
      </c>
      <c r="N98" s="5">
        <v>6</v>
      </c>
      <c r="O98" s="5" t="s">
        <v>43</v>
      </c>
      <c r="P98" s="5">
        <v>44.66</v>
      </c>
    </row>
    <row r="99" spans="1:16" x14ac:dyDescent="0.5">
      <c r="A99" s="5" t="s">
        <v>847</v>
      </c>
      <c r="B99" s="8">
        <v>45404</v>
      </c>
      <c r="C99" s="6">
        <v>0.5</v>
      </c>
      <c r="D99" s="5" t="s">
        <v>31</v>
      </c>
      <c r="E99" s="5" t="s">
        <v>24</v>
      </c>
      <c r="F99" s="5" t="s">
        <v>18</v>
      </c>
      <c r="G99" s="5">
        <v>52</v>
      </c>
      <c r="H99" s="5">
        <v>1</v>
      </c>
      <c r="I99" s="5">
        <v>63</v>
      </c>
      <c r="J99" s="5">
        <v>1866.11</v>
      </c>
      <c r="K99" s="5">
        <v>75</v>
      </c>
      <c r="L99" s="5" t="s">
        <v>103</v>
      </c>
      <c r="M99" s="5" t="s">
        <v>28</v>
      </c>
      <c r="N99" s="5">
        <v>9</v>
      </c>
      <c r="O99" s="5" t="s">
        <v>35</v>
      </c>
      <c r="P99" s="5">
        <v>131.5</v>
      </c>
    </row>
    <row r="100" spans="1:16" x14ac:dyDescent="0.5">
      <c r="A100" s="5" t="s">
        <v>264</v>
      </c>
      <c r="B100" s="8">
        <v>45325</v>
      </c>
      <c r="C100" s="6">
        <v>0.5</v>
      </c>
      <c r="D100" s="5" t="s">
        <v>248</v>
      </c>
      <c r="E100" s="5" t="s">
        <v>71</v>
      </c>
      <c r="F100" s="5" t="s">
        <v>101</v>
      </c>
      <c r="G100" s="5">
        <v>0</v>
      </c>
      <c r="H100" s="5">
        <v>3.6</v>
      </c>
      <c r="I100" s="5">
        <v>25</v>
      </c>
      <c r="J100" s="5">
        <v>1233.98</v>
      </c>
      <c r="K100" s="5">
        <v>0.5</v>
      </c>
      <c r="L100" s="5" t="s">
        <v>73</v>
      </c>
      <c r="M100" s="5" t="s">
        <v>28</v>
      </c>
      <c r="N100" s="5">
        <v>4</v>
      </c>
      <c r="O100" s="5" t="s">
        <v>51</v>
      </c>
      <c r="P100" s="5">
        <v>95.45</v>
      </c>
    </row>
    <row r="101" spans="1:16" x14ac:dyDescent="0.5">
      <c r="A101" s="5" t="s">
        <v>265</v>
      </c>
      <c r="B101" s="8">
        <v>45541</v>
      </c>
      <c r="C101" s="6">
        <v>0.5</v>
      </c>
      <c r="D101" s="5" t="s">
        <v>37</v>
      </c>
      <c r="E101" s="5" t="s">
        <v>24</v>
      </c>
      <c r="F101" s="5" t="s">
        <v>33</v>
      </c>
      <c r="G101" s="5">
        <v>56</v>
      </c>
      <c r="H101" s="5">
        <v>2.4</v>
      </c>
      <c r="I101" s="5">
        <v>56</v>
      </c>
      <c r="J101" s="5">
        <v>2130.75</v>
      </c>
      <c r="K101" s="5">
        <v>150</v>
      </c>
      <c r="L101" s="5" t="s">
        <v>73</v>
      </c>
      <c r="M101" s="5" t="s">
        <v>28</v>
      </c>
      <c r="N101" s="5">
        <v>8</v>
      </c>
      <c r="O101" s="5" t="s">
        <v>840</v>
      </c>
      <c r="P101" s="5">
        <v>-68.56</v>
      </c>
    </row>
    <row r="102" spans="1:16" x14ac:dyDescent="0.5">
      <c r="A102" s="5" t="s">
        <v>267</v>
      </c>
      <c r="B102" s="8">
        <v>45377</v>
      </c>
      <c r="C102" s="6">
        <v>0.5</v>
      </c>
      <c r="D102" s="5" t="s">
        <v>70</v>
      </c>
      <c r="E102" s="5" t="s">
        <v>146</v>
      </c>
      <c r="F102" s="5" t="s">
        <v>268</v>
      </c>
      <c r="G102" s="5">
        <v>38</v>
      </c>
      <c r="H102" s="5">
        <v>1.9</v>
      </c>
      <c r="I102" s="5">
        <v>61</v>
      </c>
      <c r="J102" s="5">
        <v>2493.73</v>
      </c>
      <c r="K102" s="5">
        <v>120</v>
      </c>
      <c r="L102" s="5" t="s">
        <v>103</v>
      </c>
      <c r="M102" s="5" t="s">
        <v>42</v>
      </c>
      <c r="N102" s="5">
        <v>1</v>
      </c>
      <c r="O102" s="5" t="s">
        <v>51</v>
      </c>
      <c r="P102" s="5">
        <v>85.6</v>
      </c>
    </row>
    <row r="103" spans="1:16" x14ac:dyDescent="0.5">
      <c r="A103" s="5" t="s">
        <v>276</v>
      </c>
      <c r="B103" s="8">
        <v>45473</v>
      </c>
      <c r="C103" s="6">
        <v>0.5</v>
      </c>
      <c r="D103" s="5" t="s">
        <v>81</v>
      </c>
      <c r="E103" s="5" t="s">
        <v>24</v>
      </c>
      <c r="F103" s="5" t="s">
        <v>18</v>
      </c>
      <c r="G103" s="5">
        <v>0</v>
      </c>
      <c r="H103" s="5">
        <v>2.4</v>
      </c>
      <c r="I103" s="5">
        <v>79</v>
      </c>
      <c r="J103" s="5">
        <v>776.59</v>
      </c>
      <c r="K103" s="5">
        <v>0.5</v>
      </c>
      <c r="L103" s="5" t="s">
        <v>834</v>
      </c>
      <c r="M103" s="5" t="s">
        <v>59</v>
      </c>
      <c r="N103" s="5">
        <v>7</v>
      </c>
      <c r="O103" s="5" t="s">
        <v>51</v>
      </c>
      <c r="P103" s="5">
        <v>126.42</v>
      </c>
    </row>
    <row r="104" spans="1:16" x14ac:dyDescent="0.5">
      <c r="A104" s="5" t="s">
        <v>280</v>
      </c>
      <c r="B104" s="8">
        <v>45437</v>
      </c>
      <c r="C104" s="6">
        <v>0.5</v>
      </c>
      <c r="D104" s="5" t="s">
        <v>66</v>
      </c>
      <c r="E104" s="5" t="s">
        <v>24</v>
      </c>
      <c r="F104" s="5" t="s">
        <v>61</v>
      </c>
      <c r="G104" s="5">
        <v>32</v>
      </c>
      <c r="H104" s="5">
        <v>0</v>
      </c>
      <c r="I104" s="5">
        <v>16</v>
      </c>
      <c r="J104" s="5">
        <v>2322.54</v>
      </c>
      <c r="K104" s="5">
        <v>0.15</v>
      </c>
      <c r="L104" s="5" t="s">
        <v>68</v>
      </c>
      <c r="M104" s="5" t="s">
        <v>28</v>
      </c>
      <c r="N104" s="5">
        <v>4</v>
      </c>
      <c r="O104" s="5" t="s">
        <v>43</v>
      </c>
      <c r="P104" s="5">
        <v>162.66</v>
      </c>
    </row>
    <row r="105" spans="1:16" x14ac:dyDescent="0.5">
      <c r="A105" s="5" t="s">
        <v>282</v>
      </c>
      <c r="B105" s="8">
        <v>45542</v>
      </c>
      <c r="C105" s="6">
        <v>0.5</v>
      </c>
      <c r="D105" s="5" t="s">
        <v>283</v>
      </c>
      <c r="E105" s="5" t="s">
        <v>284</v>
      </c>
      <c r="F105" s="5" t="s">
        <v>25</v>
      </c>
      <c r="G105" s="5">
        <v>51</v>
      </c>
      <c r="H105" s="5">
        <v>4.9000000000000004</v>
      </c>
      <c r="I105" s="5">
        <v>43</v>
      </c>
      <c r="J105" s="5">
        <v>1067.33</v>
      </c>
      <c r="K105" s="5">
        <v>100</v>
      </c>
      <c r="L105" s="5" t="s">
        <v>68</v>
      </c>
      <c r="M105" s="5" t="s">
        <v>28</v>
      </c>
      <c r="N105" s="5">
        <v>2</v>
      </c>
      <c r="O105" s="5" t="s">
        <v>836</v>
      </c>
      <c r="P105" s="5">
        <v>113.2</v>
      </c>
    </row>
    <row r="106" spans="1:16" x14ac:dyDescent="0.5">
      <c r="A106" s="5" t="s">
        <v>287</v>
      </c>
      <c r="B106" s="8">
        <v>45343</v>
      </c>
      <c r="C106" s="6">
        <v>0.50486111111111109</v>
      </c>
      <c r="D106" s="5" t="s">
        <v>843</v>
      </c>
      <c r="E106" s="5" t="s">
        <v>24</v>
      </c>
      <c r="F106" s="5" t="s">
        <v>67</v>
      </c>
      <c r="G106" s="5">
        <v>23</v>
      </c>
      <c r="H106" s="5">
        <v>1</v>
      </c>
      <c r="I106" s="5">
        <v>50</v>
      </c>
      <c r="J106" s="5">
        <v>1595.04</v>
      </c>
      <c r="K106" s="5">
        <v>0</v>
      </c>
      <c r="L106" s="5" t="s">
        <v>68</v>
      </c>
      <c r="M106" s="5" t="s">
        <v>28</v>
      </c>
      <c r="N106" s="5">
        <v>2</v>
      </c>
      <c r="O106" s="5" t="s">
        <v>21</v>
      </c>
      <c r="P106" s="5">
        <v>-26.76</v>
      </c>
    </row>
    <row r="107" spans="1:16" x14ac:dyDescent="0.5">
      <c r="A107" s="5" t="s">
        <v>288</v>
      </c>
      <c r="B107" s="8">
        <v>45438</v>
      </c>
      <c r="C107" s="6">
        <v>0.5</v>
      </c>
      <c r="D107" s="5" t="s">
        <v>233</v>
      </c>
      <c r="E107" s="5" t="s">
        <v>54</v>
      </c>
      <c r="F107" s="5" t="s">
        <v>289</v>
      </c>
      <c r="G107" s="5">
        <v>62</v>
      </c>
      <c r="H107" s="5">
        <v>2.2999999999999998</v>
      </c>
      <c r="I107" s="5">
        <v>41</v>
      </c>
      <c r="J107" s="5">
        <v>1776.07</v>
      </c>
      <c r="K107" s="5">
        <v>0.6</v>
      </c>
      <c r="L107" s="5" t="s">
        <v>834</v>
      </c>
      <c r="M107" s="5" t="s">
        <v>59</v>
      </c>
      <c r="N107" s="5">
        <v>10</v>
      </c>
      <c r="O107" s="5" t="s">
        <v>51</v>
      </c>
      <c r="P107" s="5">
        <v>105.67</v>
      </c>
    </row>
    <row r="108" spans="1:16" x14ac:dyDescent="0.5">
      <c r="A108" s="5" t="s">
        <v>290</v>
      </c>
      <c r="B108" s="8">
        <v>45338</v>
      </c>
      <c r="C108" s="6">
        <v>0.5</v>
      </c>
      <c r="D108" s="5" t="s">
        <v>23</v>
      </c>
      <c r="E108" s="5" t="s">
        <v>93</v>
      </c>
      <c r="F108" s="5" t="s">
        <v>55</v>
      </c>
      <c r="G108" s="5">
        <v>18</v>
      </c>
      <c r="H108" s="5">
        <v>3.8</v>
      </c>
      <c r="I108" s="5">
        <v>23</v>
      </c>
      <c r="J108" s="5">
        <v>852.5</v>
      </c>
      <c r="K108" s="5">
        <v>0.1</v>
      </c>
      <c r="L108" s="5" t="s">
        <v>834</v>
      </c>
      <c r="M108" s="5" t="s">
        <v>28</v>
      </c>
      <c r="N108" s="5">
        <v>6</v>
      </c>
      <c r="O108" s="5" t="s">
        <v>836</v>
      </c>
      <c r="P108" s="5">
        <v>-68.27</v>
      </c>
    </row>
    <row r="109" spans="1:16" x14ac:dyDescent="0.5">
      <c r="A109" s="5" t="s">
        <v>295</v>
      </c>
      <c r="B109" s="8">
        <v>45345</v>
      </c>
      <c r="C109" s="6">
        <v>0.5</v>
      </c>
      <c r="D109" s="5" t="s">
        <v>23</v>
      </c>
      <c r="E109" s="5" t="s">
        <v>49</v>
      </c>
      <c r="F109" s="5" t="s">
        <v>18</v>
      </c>
      <c r="G109" s="5">
        <v>27</v>
      </c>
      <c r="H109" s="5">
        <v>4.2</v>
      </c>
      <c r="I109" s="5">
        <v>36</v>
      </c>
      <c r="J109" s="5">
        <v>289.56</v>
      </c>
      <c r="K109" s="5">
        <v>0.5</v>
      </c>
      <c r="L109" s="5" t="s">
        <v>834</v>
      </c>
      <c r="M109" s="5" t="s">
        <v>28</v>
      </c>
      <c r="N109" s="5">
        <v>10</v>
      </c>
      <c r="O109" s="5" t="s">
        <v>51</v>
      </c>
      <c r="P109" s="5">
        <v>67.13</v>
      </c>
    </row>
    <row r="110" spans="1:16" x14ac:dyDescent="0.5">
      <c r="A110" s="5" t="s">
        <v>296</v>
      </c>
      <c r="B110" s="8">
        <v>45486</v>
      </c>
      <c r="C110" s="6">
        <v>0.5</v>
      </c>
      <c r="D110" s="5" t="s">
        <v>866</v>
      </c>
      <c r="E110" s="5" t="s">
        <v>24</v>
      </c>
      <c r="F110" s="5" t="s">
        <v>67</v>
      </c>
      <c r="G110" s="5">
        <v>34</v>
      </c>
      <c r="H110" s="5">
        <v>2.6</v>
      </c>
      <c r="I110" s="5">
        <v>57</v>
      </c>
      <c r="J110" s="5">
        <v>1997.29</v>
      </c>
      <c r="K110" s="5">
        <v>0</v>
      </c>
      <c r="L110" s="5" t="s">
        <v>834</v>
      </c>
      <c r="M110" s="5" t="s">
        <v>42</v>
      </c>
      <c r="N110" s="5">
        <v>9</v>
      </c>
      <c r="O110" s="5" t="s">
        <v>21</v>
      </c>
      <c r="P110" s="5">
        <v>-44.7</v>
      </c>
    </row>
    <row r="111" spans="1:16" x14ac:dyDescent="0.5">
      <c r="A111" s="5" t="s">
        <v>299</v>
      </c>
      <c r="B111" s="8">
        <v>45292</v>
      </c>
      <c r="C111" s="6">
        <v>0.20833333333333334</v>
      </c>
      <c r="D111" s="5" t="s">
        <v>81</v>
      </c>
      <c r="E111" s="5" t="s">
        <v>38</v>
      </c>
      <c r="F111" s="5" t="s">
        <v>55</v>
      </c>
      <c r="G111" s="5">
        <v>57</v>
      </c>
      <c r="H111" s="5">
        <v>2.6</v>
      </c>
      <c r="I111" s="5">
        <v>33</v>
      </c>
      <c r="J111" s="5">
        <v>268.54000000000002</v>
      </c>
      <c r="K111" s="5">
        <v>0</v>
      </c>
      <c r="L111" s="5" t="s">
        <v>27</v>
      </c>
      <c r="M111" s="5" t="s">
        <v>59</v>
      </c>
      <c r="N111" s="5">
        <v>7</v>
      </c>
      <c r="O111" s="5" t="s">
        <v>836</v>
      </c>
      <c r="P111" s="5">
        <v>45.92</v>
      </c>
    </row>
    <row r="112" spans="1:16" x14ac:dyDescent="0.5">
      <c r="A112" s="5" t="s">
        <v>302</v>
      </c>
      <c r="B112" s="8">
        <v>45566</v>
      </c>
      <c r="C112" s="6">
        <v>0.5</v>
      </c>
      <c r="D112" s="5" t="s">
        <v>839</v>
      </c>
      <c r="E112" s="5" t="s">
        <v>88</v>
      </c>
      <c r="F112" s="5" t="s">
        <v>67</v>
      </c>
      <c r="G112" s="5">
        <v>58</v>
      </c>
      <c r="H112" s="5">
        <v>4.8</v>
      </c>
      <c r="I112" s="5">
        <v>55</v>
      </c>
      <c r="J112" s="5">
        <v>1403.29</v>
      </c>
      <c r="K112" s="5">
        <v>75</v>
      </c>
      <c r="L112" s="5" t="s">
        <v>103</v>
      </c>
      <c r="M112" s="5" t="s">
        <v>28</v>
      </c>
      <c r="N112" s="5">
        <v>5</v>
      </c>
      <c r="O112" s="5" t="s">
        <v>83</v>
      </c>
      <c r="P112" s="5">
        <v>117.22</v>
      </c>
    </row>
    <row r="113" spans="1:16" x14ac:dyDescent="0.5">
      <c r="A113" s="5" t="s">
        <v>304</v>
      </c>
      <c r="B113" s="8">
        <v>45571</v>
      </c>
      <c r="C113" s="6">
        <v>0.5</v>
      </c>
      <c r="D113" s="5" t="s">
        <v>122</v>
      </c>
      <c r="E113" s="5" t="s">
        <v>54</v>
      </c>
      <c r="F113" s="5" t="s">
        <v>101</v>
      </c>
      <c r="G113" s="5">
        <v>65</v>
      </c>
      <c r="H113" s="5">
        <v>1.7</v>
      </c>
      <c r="I113" s="5">
        <v>34</v>
      </c>
      <c r="J113" s="5">
        <v>1688.79</v>
      </c>
      <c r="K113" s="5">
        <v>0.15</v>
      </c>
      <c r="L113" s="5" t="s">
        <v>848</v>
      </c>
      <c r="M113" s="5" t="s">
        <v>28</v>
      </c>
      <c r="N113" s="5">
        <v>8</v>
      </c>
      <c r="O113" s="5" t="s">
        <v>43</v>
      </c>
      <c r="P113" s="5">
        <v>65.260000000000005</v>
      </c>
    </row>
    <row r="114" spans="1:16" x14ac:dyDescent="0.5">
      <c r="A114" s="5" t="s">
        <v>306</v>
      </c>
      <c r="B114" s="8">
        <v>45380</v>
      </c>
      <c r="C114" s="6">
        <v>7.7083333333333337E-2</v>
      </c>
      <c r="D114" s="5" t="s">
        <v>866</v>
      </c>
      <c r="E114" s="5" t="s">
        <v>88</v>
      </c>
      <c r="F114" s="5" t="s">
        <v>101</v>
      </c>
      <c r="G114" s="5">
        <v>46</v>
      </c>
      <c r="H114" s="5">
        <v>2.2999999999999998</v>
      </c>
      <c r="I114" s="5">
        <v>20</v>
      </c>
      <c r="J114" s="5">
        <v>351.73</v>
      </c>
      <c r="K114" s="5">
        <v>0.5</v>
      </c>
      <c r="L114" s="5" t="s">
        <v>103</v>
      </c>
      <c r="M114" s="5" t="s">
        <v>59</v>
      </c>
      <c r="N114" s="5">
        <v>8</v>
      </c>
      <c r="O114" s="5" t="s">
        <v>836</v>
      </c>
      <c r="P114" s="5">
        <v>114.28</v>
      </c>
    </row>
    <row r="115" spans="1:16" x14ac:dyDescent="0.5">
      <c r="A115" s="5" t="s">
        <v>310</v>
      </c>
      <c r="B115" s="8">
        <v>45362</v>
      </c>
      <c r="C115" s="6">
        <v>0.10694444444444444</v>
      </c>
      <c r="D115" s="5" t="s">
        <v>112</v>
      </c>
      <c r="E115" s="5" t="s">
        <v>17</v>
      </c>
      <c r="F115" s="5" t="s">
        <v>311</v>
      </c>
      <c r="G115" s="5">
        <v>29</v>
      </c>
      <c r="H115" s="5">
        <v>1.4</v>
      </c>
      <c r="I115" s="5">
        <v>70</v>
      </c>
      <c r="J115" s="5">
        <v>639.76</v>
      </c>
      <c r="K115" s="5">
        <v>150</v>
      </c>
      <c r="L115" s="5" t="s">
        <v>73</v>
      </c>
      <c r="M115" s="5" t="s">
        <v>835</v>
      </c>
      <c r="N115" s="5">
        <v>1</v>
      </c>
      <c r="O115" s="5" t="s">
        <v>21</v>
      </c>
      <c r="P115" s="5">
        <v>151.02000000000001</v>
      </c>
    </row>
    <row r="116" spans="1:16" x14ac:dyDescent="0.5">
      <c r="A116" s="5" t="s">
        <v>849</v>
      </c>
      <c r="B116" s="8">
        <v>45476</v>
      </c>
      <c r="C116" s="6">
        <v>0.5</v>
      </c>
      <c r="D116" s="5" t="s">
        <v>70</v>
      </c>
      <c r="E116" s="5" t="s">
        <v>24</v>
      </c>
      <c r="F116" s="5" t="s">
        <v>61</v>
      </c>
      <c r="G116" s="5">
        <v>59</v>
      </c>
      <c r="H116" s="5">
        <v>2.8</v>
      </c>
      <c r="I116" s="5">
        <v>34</v>
      </c>
      <c r="J116" s="5">
        <v>1883.7</v>
      </c>
      <c r="K116" s="5">
        <v>0</v>
      </c>
      <c r="L116" s="5" t="s">
        <v>27</v>
      </c>
      <c r="M116" s="5" t="s">
        <v>28</v>
      </c>
      <c r="N116" s="5">
        <v>3</v>
      </c>
      <c r="O116" s="5" t="s">
        <v>840</v>
      </c>
      <c r="P116" s="5">
        <v>21.42</v>
      </c>
    </row>
    <row r="117" spans="1:16" x14ac:dyDescent="0.5">
      <c r="A117" s="5" t="s">
        <v>316</v>
      </c>
      <c r="B117" s="8">
        <v>45443</v>
      </c>
      <c r="C117" s="6">
        <v>0.5</v>
      </c>
      <c r="D117" s="5" t="s">
        <v>866</v>
      </c>
      <c r="E117" s="5" t="s">
        <v>58</v>
      </c>
      <c r="F117" s="5" t="s">
        <v>55</v>
      </c>
      <c r="G117" s="5">
        <v>31</v>
      </c>
      <c r="H117" s="5">
        <v>3.4</v>
      </c>
      <c r="I117" s="5">
        <v>30</v>
      </c>
      <c r="J117" s="5">
        <v>771.87</v>
      </c>
      <c r="K117" s="5">
        <v>0.2</v>
      </c>
      <c r="L117" s="5" t="s">
        <v>103</v>
      </c>
      <c r="M117" s="5" t="s">
        <v>42</v>
      </c>
      <c r="N117" s="5">
        <v>3</v>
      </c>
      <c r="O117" s="5" t="s">
        <v>21</v>
      </c>
      <c r="P117" s="5">
        <v>-77.62</v>
      </c>
    </row>
    <row r="118" spans="1:16" x14ac:dyDescent="0.5">
      <c r="A118" s="5" t="s">
        <v>317</v>
      </c>
      <c r="B118" s="8">
        <v>45364</v>
      </c>
      <c r="C118" s="6">
        <v>9.166666666666666E-2</v>
      </c>
      <c r="D118" s="5" t="s">
        <v>81</v>
      </c>
      <c r="E118" s="5" t="s">
        <v>71</v>
      </c>
      <c r="F118" s="5" t="s">
        <v>78</v>
      </c>
      <c r="G118" s="5">
        <v>37</v>
      </c>
      <c r="H118" s="5">
        <v>1</v>
      </c>
      <c r="I118" s="5">
        <v>22</v>
      </c>
      <c r="J118" s="5">
        <v>2468.12</v>
      </c>
      <c r="K118" s="5">
        <v>120</v>
      </c>
      <c r="L118" s="5" t="s">
        <v>103</v>
      </c>
      <c r="M118" s="5" t="s">
        <v>59</v>
      </c>
      <c r="N118" s="5">
        <v>8</v>
      </c>
      <c r="O118" s="5" t="s">
        <v>43</v>
      </c>
      <c r="P118" s="5">
        <v>-65.77</v>
      </c>
    </row>
    <row r="119" spans="1:16" x14ac:dyDescent="0.5">
      <c r="A119" s="5" t="s">
        <v>319</v>
      </c>
      <c r="B119" s="8">
        <v>45377</v>
      </c>
      <c r="C119" s="6">
        <v>0.5</v>
      </c>
      <c r="D119" s="5" t="s">
        <v>843</v>
      </c>
      <c r="E119" s="5" t="s">
        <v>17</v>
      </c>
      <c r="F119" s="5" t="s">
        <v>320</v>
      </c>
      <c r="G119" s="5">
        <v>55</v>
      </c>
      <c r="H119" s="5">
        <v>2.7</v>
      </c>
      <c r="I119" s="5">
        <v>56</v>
      </c>
      <c r="J119" s="5">
        <v>667.55</v>
      </c>
      <c r="K119" s="5">
        <v>0.15</v>
      </c>
      <c r="L119" s="5" t="s">
        <v>27</v>
      </c>
      <c r="M119" s="5" t="s">
        <v>28</v>
      </c>
      <c r="N119" s="5">
        <v>3</v>
      </c>
      <c r="O119" s="5" t="s">
        <v>35</v>
      </c>
      <c r="P119" s="5">
        <v>47.82</v>
      </c>
    </row>
    <row r="120" spans="1:16" x14ac:dyDescent="0.5">
      <c r="A120" s="5" t="s">
        <v>322</v>
      </c>
      <c r="B120" s="8">
        <v>45568</v>
      </c>
      <c r="C120" s="6">
        <v>0.5</v>
      </c>
      <c r="D120" s="5" t="s">
        <v>46</v>
      </c>
      <c r="E120" s="5" t="s">
        <v>24</v>
      </c>
      <c r="F120" s="5" t="s">
        <v>101</v>
      </c>
      <c r="G120" s="5">
        <v>28</v>
      </c>
      <c r="H120" s="5">
        <v>3.2</v>
      </c>
      <c r="I120" s="5">
        <v>41</v>
      </c>
      <c r="J120" s="5">
        <v>2159.6</v>
      </c>
      <c r="K120" s="5">
        <v>120</v>
      </c>
      <c r="L120" s="5" t="s">
        <v>837</v>
      </c>
      <c r="M120" s="5" t="s">
        <v>42</v>
      </c>
      <c r="N120" s="5">
        <v>10</v>
      </c>
      <c r="O120" s="5" t="s">
        <v>35</v>
      </c>
      <c r="P120" s="5">
        <v>0</v>
      </c>
    </row>
    <row r="121" spans="1:16" x14ac:dyDescent="0.5">
      <c r="A121" s="5" t="s">
        <v>325</v>
      </c>
      <c r="B121" s="8">
        <v>45540</v>
      </c>
      <c r="C121" s="6">
        <v>0.5</v>
      </c>
      <c r="D121" s="5" t="s">
        <v>70</v>
      </c>
      <c r="E121" s="5" t="s">
        <v>58</v>
      </c>
      <c r="F121" s="5" t="s">
        <v>55</v>
      </c>
      <c r="G121" s="5">
        <v>23</v>
      </c>
      <c r="H121" s="5">
        <v>0</v>
      </c>
      <c r="I121" s="5">
        <v>35</v>
      </c>
      <c r="J121" s="5">
        <v>1793.86</v>
      </c>
      <c r="K121" s="5">
        <v>0</v>
      </c>
      <c r="L121" s="5" t="s">
        <v>837</v>
      </c>
      <c r="M121" s="5" t="s">
        <v>42</v>
      </c>
      <c r="N121" s="5">
        <v>1</v>
      </c>
      <c r="O121" s="5" t="s">
        <v>836</v>
      </c>
      <c r="P121" s="5">
        <v>0</v>
      </c>
    </row>
    <row r="122" spans="1:16" x14ac:dyDescent="0.5">
      <c r="A122" s="5" t="s">
        <v>326</v>
      </c>
      <c r="B122" s="8">
        <v>45418</v>
      </c>
      <c r="C122" s="6">
        <v>0.5</v>
      </c>
      <c r="D122" s="5" t="s">
        <v>66</v>
      </c>
      <c r="E122" s="5" t="s">
        <v>17</v>
      </c>
      <c r="F122" s="5" t="s">
        <v>39</v>
      </c>
      <c r="G122" s="5">
        <v>29</v>
      </c>
      <c r="H122" s="5">
        <v>3.8</v>
      </c>
      <c r="I122" s="5">
        <v>41</v>
      </c>
      <c r="J122" s="5">
        <v>449.41</v>
      </c>
      <c r="K122" s="5">
        <v>150</v>
      </c>
      <c r="L122" s="5" t="s">
        <v>837</v>
      </c>
      <c r="M122" s="5" t="s">
        <v>42</v>
      </c>
      <c r="N122" s="5">
        <v>5</v>
      </c>
      <c r="O122" s="5" t="s">
        <v>51</v>
      </c>
      <c r="P122" s="5">
        <v>-59.09</v>
      </c>
    </row>
    <row r="123" spans="1:16" x14ac:dyDescent="0.5">
      <c r="A123" s="5" t="s">
        <v>328</v>
      </c>
      <c r="B123" s="8">
        <v>45323</v>
      </c>
      <c r="C123" s="6">
        <v>0.16805555555555557</v>
      </c>
      <c r="D123" s="5" t="s">
        <v>112</v>
      </c>
      <c r="E123" s="5" t="s">
        <v>93</v>
      </c>
      <c r="F123" s="5" t="s">
        <v>55</v>
      </c>
      <c r="G123" s="5">
        <v>35</v>
      </c>
      <c r="H123" s="5">
        <v>1.6</v>
      </c>
      <c r="I123" s="5">
        <v>28</v>
      </c>
      <c r="J123" s="5">
        <v>1359.24</v>
      </c>
      <c r="K123" s="5">
        <v>0.6</v>
      </c>
      <c r="L123" s="5" t="s">
        <v>68</v>
      </c>
      <c r="M123" s="5" t="s">
        <v>28</v>
      </c>
      <c r="N123" s="5">
        <v>4</v>
      </c>
      <c r="O123" s="5" t="s">
        <v>51</v>
      </c>
      <c r="P123" s="5">
        <v>33.119999999999997</v>
      </c>
    </row>
    <row r="124" spans="1:16" x14ac:dyDescent="0.5">
      <c r="A124" s="5" t="s">
        <v>329</v>
      </c>
      <c r="B124" s="8">
        <v>45470</v>
      </c>
      <c r="C124" s="6">
        <v>0.5</v>
      </c>
      <c r="D124" s="5" t="s">
        <v>81</v>
      </c>
      <c r="E124" s="5" t="s">
        <v>54</v>
      </c>
      <c r="F124" s="5" t="s">
        <v>39</v>
      </c>
      <c r="G124" s="5">
        <v>28</v>
      </c>
      <c r="H124" s="5">
        <v>2.1</v>
      </c>
      <c r="I124" s="5">
        <v>34</v>
      </c>
      <c r="J124" s="5">
        <v>503.79</v>
      </c>
      <c r="K124" s="5">
        <v>120</v>
      </c>
      <c r="L124" s="5" t="s">
        <v>68</v>
      </c>
      <c r="M124" s="5" t="s">
        <v>28</v>
      </c>
      <c r="N124" s="5">
        <v>8</v>
      </c>
      <c r="O124" s="5" t="s">
        <v>51</v>
      </c>
      <c r="P124" s="5">
        <v>0</v>
      </c>
    </row>
    <row r="125" spans="1:16" x14ac:dyDescent="0.5">
      <c r="A125" s="5" t="s">
        <v>331</v>
      </c>
      <c r="B125" s="8">
        <v>45409</v>
      </c>
      <c r="C125" s="6">
        <v>0.5</v>
      </c>
      <c r="D125" s="5" t="s">
        <v>31</v>
      </c>
      <c r="E125" s="5" t="s">
        <v>54</v>
      </c>
      <c r="F125" s="5" t="s">
        <v>33</v>
      </c>
      <c r="G125" s="5">
        <v>25</v>
      </c>
      <c r="H125" s="5">
        <v>4.5999999999999996</v>
      </c>
      <c r="I125" s="5">
        <v>50</v>
      </c>
      <c r="J125" s="5">
        <v>0</v>
      </c>
      <c r="K125" s="5">
        <v>50</v>
      </c>
      <c r="L125" s="5" t="s">
        <v>837</v>
      </c>
      <c r="M125" s="5" t="s">
        <v>42</v>
      </c>
      <c r="N125" s="5">
        <v>5</v>
      </c>
      <c r="O125" s="5" t="s">
        <v>840</v>
      </c>
      <c r="P125" s="5">
        <v>97.68</v>
      </c>
    </row>
    <row r="126" spans="1:16" x14ac:dyDescent="0.5">
      <c r="A126" s="5" t="s">
        <v>333</v>
      </c>
      <c r="B126" s="8">
        <v>45423</v>
      </c>
      <c r="C126" s="6">
        <v>0.5</v>
      </c>
      <c r="D126" s="5" t="s">
        <v>839</v>
      </c>
      <c r="E126" s="5" t="s">
        <v>71</v>
      </c>
      <c r="F126" s="5" t="s">
        <v>838</v>
      </c>
      <c r="G126" s="5">
        <v>37</v>
      </c>
      <c r="H126" s="5">
        <v>4.5</v>
      </c>
      <c r="I126" s="5">
        <v>61</v>
      </c>
      <c r="J126" s="5">
        <v>2232.98</v>
      </c>
      <c r="K126" s="5">
        <v>100</v>
      </c>
      <c r="L126" s="5" t="s">
        <v>73</v>
      </c>
      <c r="M126" s="5" t="s">
        <v>28</v>
      </c>
      <c r="N126" s="5">
        <v>4</v>
      </c>
      <c r="O126" s="5" t="s">
        <v>83</v>
      </c>
      <c r="P126" s="5">
        <v>245.59</v>
      </c>
    </row>
    <row r="127" spans="1:16" x14ac:dyDescent="0.5">
      <c r="A127" s="5" t="s">
        <v>337</v>
      </c>
      <c r="B127" s="8">
        <v>45358</v>
      </c>
      <c r="C127" s="6">
        <v>0.39305555555555555</v>
      </c>
      <c r="D127" s="5" t="s">
        <v>862</v>
      </c>
      <c r="E127" s="5" t="s">
        <v>54</v>
      </c>
      <c r="F127" s="5" t="s">
        <v>61</v>
      </c>
      <c r="G127" s="5">
        <v>41</v>
      </c>
      <c r="H127" s="5">
        <v>4.5999999999999996</v>
      </c>
      <c r="I127" s="5">
        <v>52</v>
      </c>
      <c r="J127" s="5">
        <v>814.16</v>
      </c>
      <c r="K127" s="5">
        <v>0</v>
      </c>
      <c r="L127" s="5" t="s">
        <v>68</v>
      </c>
      <c r="M127" s="5" t="s">
        <v>42</v>
      </c>
      <c r="N127" s="5">
        <v>5</v>
      </c>
      <c r="O127" s="5" t="s">
        <v>83</v>
      </c>
      <c r="P127" s="5">
        <v>-48.37</v>
      </c>
    </row>
    <row r="128" spans="1:16" x14ac:dyDescent="0.5">
      <c r="A128" s="5" t="s">
        <v>850</v>
      </c>
      <c r="B128" s="8">
        <v>45364</v>
      </c>
      <c r="C128" s="6">
        <v>0.52986111111111112</v>
      </c>
      <c r="D128" s="5" t="s">
        <v>70</v>
      </c>
      <c r="E128" s="5" t="s">
        <v>58</v>
      </c>
      <c r="F128" s="5" t="s">
        <v>18</v>
      </c>
      <c r="G128" s="5">
        <v>44</v>
      </c>
      <c r="H128" s="5">
        <v>1.3</v>
      </c>
      <c r="I128" s="5">
        <v>17</v>
      </c>
      <c r="J128" s="5">
        <v>1261.25</v>
      </c>
      <c r="K128" s="5">
        <v>0.5</v>
      </c>
      <c r="L128" s="5" t="s">
        <v>103</v>
      </c>
      <c r="M128" s="5" t="s">
        <v>840</v>
      </c>
      <c r="N128" s="5">
        <v>4</v>
      </c>
      <c r="O128" s="5" t="s">
        <v>35</v>
      </c>
      <c r="P128" s="5">
        <v>-5.23</v>
      </c>
    </row>
    <row r="129" spans="1:16" x14ac:dyDescent="0.5">
      <c r="A129" s="5" t="s">
        <v>341</v>
      </c>
      <c r="B129" s="8">
        <v>45468</v>
      </c>
      <c r="C129" s="6">
        <v>0.5</v>
      </c>
      <c r="D129" s="5" t="s">
        <v>81</v>
      </c>
      <c r="E129" s="5" t="s">
        <v>88</v>
      </c>
      <c r="F129" s="5" t="s">
        <v>39</v>
      </c>
      <c r="G129" s="5">
        <v>56</v>
      </c>
      <c r="H129" s="5">
        <v>4.5999999999999996</v>
      </c>
      <c r="I129" s="5">
        <v>37</v>
      </c>
      <c r="J129" s="5">
        <v>189.64</v>
      </c>
      <c r="K129" s="5">
        <v>75</v>
      </c>
      <c r="L129" s="5" t="s">
        <v>103</v>
      </c>
      <c r="M129" s="5" t="s">
        <v>28</v>
      </c>
      <c r="N129" s="5">
        <v>10</v>
      </c>
      <c r="O129" s="5" t="s">
        <v>21</v>
      </c>
      <c r="P129" s="5">
        <v>238.21</v>
      </c>
    </row>
    <row r="130" spans="1:16" x14ac:dyDescent="0.5">
      <c r="A130" s="5" t="s">
        <v>851</v>
      </c>
      <c r="B130" s="8">
        <v>45317</v>
      </c>
      <c r="C130" s="6">
        <v>0.5</v>
      </c>
      <c r="D130" s="5" t="s">
        <v>31</v>
      </c>
      <c r="E130" s="5" t="s">
        <v>93</v>
      </c>
      <c r="F130" s="5" t="s">
        <v>25</v>
      </c>
      <c r="G130" s="5">
        <v>47</v>
      </c>
      <c r="H130" s="5">
        <v>1.5</v>
      </c>
      <c r="I130" s="5">
        <v>51</v>
      </c>
      <c r="J130" s="5">
        <v>1445.97</v>
      </c>
      <c r="K130" s="5">
        <v>0.1</v>
      </c>
      <c r="L130" s="5" t="s">
        <v>837</v>
      </c>
      <c r="M130" s="5" t="s">
        <v>28</v>
      </c>
      <c r="N130" s="5">
        <v>7</v>
      </c>
      <c r="O130" s="5" t="s">
        <v>35</v>
      </c>
      <c r="P130" s="5">
        <v>184.8</v>
      </c>
    </row>
    <row r="131" spans="1:16" x14ac:dyDescent="0.5">
      <c r="A131" s="5" t="s">
        <v>852</v>
      </c>
      <c r="B131" s="8">
        <v>45417</v>
      </c>
      <c r="C131" s="6">
        <v>0.5</v>
      </c>
      <c r="D131" s="5" t="s">
        <v>81</v>
      </c>
      <c r="E131" s="5" t="s">
        <v>146</v>
      </c>
      <c r="F131" s="5" t="s">
        <v>33</v>
      </c>
      <c r="G131" s="5">
        <v>43</v>
      </c>
      <c r="H131" s="5">
        <v>4.4000000000000004</v>
      </c>
      <c r="I131" s="5">
        <v>50</v>
      </c>
      <c r="J131" s="5">
        <v>1940.26</v>
      </c>
      <c r="K131" s="5">
        <v>150</v>
      </c>
      <c r="L131" s="5" t="s">
        <v>837</v>
      </c>
      <c r="M131" s="5" t="s">
        <v>28</v>
      </c>
      <c r="N131" s="5">
        <v>2</v>
      </c>
      <c r="O131" s="5" t="s">
        <v>83</v>
      </c>
      <c r="P131" s="5">
        <v>0</v>
      </c>
    </row>
    <row r="132" spans="1:16" x14ac:dyDescent="0.5">
      <c r="A132" s="5" t="s">
        <v>349</v>
      </c>
      <c r="B132" s="8">
        <v>45417</v>
      </c>
      <c r="C132" s="6">
        <v>0.5</v>
      </c>
      <c r="D132" s="5" t="s">
        <v>37</v>
      </c>
      <c r="E132" s="5" t="s">
        <v>71</v>
      </c>
      <c r="F132" s="5" t="s">
        <v>61</v>
      </c>
      <c r="G132" s="5">
        <v>26</v>
      </c>
      <c r="H132" s="5">
        <v>2.4</v>
      </c>
      <c r="I132" s="5">
        <v>18</v>
      </c>
      <c r="J132" s="5">
        <v>1941.16</v>
      </c>
      <c r="K132" s="5">
        <v>0.5</v>
      </c>
      <c r="L132" s="5" t="s">
        <v>73</v>
      </c>
      <c r="M132" s="5" t="s">
        <v>42</v>
      </c>
      <c r="N132" s="5">
        <v>2</v>
      </c>
      <c r="O132" s="5" t="s">
        <v>83</v>
      </c>
      <c r="P132" s="5">
        <v>0</v>
      </c>
    </row>
    <row r="133" spans="1:16" x14ac:dyDescent="0.5">
      <c r="A133" s="5" t="s">
        <v>350</v>
      </c>
      <c r="B133" s="8">
        <v>45423</v>
      </c>
      <c r="C133" s="6">
        <v>0.5</v>
      </c>
      <c r="D133" s="5" t="s">
        <v>31</v>
      </c>
      <c r="E133" s="5" t="s">
        <v>146</v>
      </c>
      <c r="F133" s="5" t="s">
        <v>97</v>
      </c>
      <c r="G133" s="5">
        <v>60</v>
      </c>
      <c r="H133" s="5">
        <v>3.5</v>
      </c>
      <c r="I133" s="5">
        <v>70</v>
      </c>
      <c r="J133" s="5">
        <v>600.19000000000005</v>
      </c>
      <c r="K133" s="5">
        <v>0</v>
      </c>
      <c r="L133" s="5" t="s">
        <v>103</v>
      </c>
      <c r="M133" s="5" t="s">
        <v>28</v>
      </c>
      <c r="N133" s="5">
        <v>2</v>
      </c>
      <c r="O133" s="5" t="s">
        <v>836</v>
      </c>
      <c r="P133" s="5">
        <v>31.16</v>
      </c>
    </row>
    <row r="134" spans="1:16" x14ac:dyDescent="0.5">
      <c r="A134" s="5" t="s">
        <v>352</v>
      </c>
      <c r="B134" s="8">
        <v>45345</v>
      </c>
      <c r="C134" s="6">
        <v>0.49375000000000002</v>
      </c>
      <c r="D134" s="5" t="s">
        <v>112</v>
      </c>
      <c r="E134" s="5" t="s">
        <v>38</v>
      </c>
      <c r="F134" s="5" t="s">
        <v>67</v>
      </c>
      <c r="G134" s="5">
        <v>51</v>
      </c>
      <c r="H134" s="5">
        <v>3.3</v>
      </c>
      <c r="I134" s="5">
        <v>67</v>
      </c>
      <c r="J134" s="5">
        <v>1886.46</v>
      </c>
      <c r="K134" s="5">
        <v>120</v>
      </c>
      <c r="L134" s="5" t="s">
        <v>103</v>
      </c>
      <c r="M134" s="5" t="s">
        <v>28</v>
      </c>
      <c r="N134" s="5">
        <v>3</v>
      </c>
      <c r="O134" s="5" t="s">
        <v>836</v>
      </c>
      <c r="P134" s="5">
        <v>63.68</v>
      </c>
    </row>
    <row r="135" spans="1:16" x14ac:dyDescent="0.5">
      <c r="A135" s="5" t="s">
        <v>354</v>
      </c>
      <c r="B135" s="8">
        <v>45344</v>
      </c>
      <c r="C135" s="6">
        <v>0.5</v>
      </c>
      <c r="D135" s="5" t="s">
        <v>23</v>
      </c>
      <c r="E135" s="5" t="s">
        <v>93</v>
      </c>
      <c r="F135" s="5" t="s">
        <v>101</v>
      </c>
      <c r="G135" s="5">
        <v>20</v>
      </c>
      <c r="H135" s="5">
        <v>2.1</v>
      </c>
      <c r="I135" s="5">
        <v>0</v>
      </c>
      <c r="J135" s="5">
        <v>1999.41</v>
      </c>
      <c r="K135" s="5">
        <v>150</v>
      </c>
      <c r="L135" s="5" t="s">
        <v>834</v>
      </c>
      <c r="M135" s="5" t="s">
        <v>28</v>
      </c>
      <c r="N135" s="5">
        <v>7</v>
      </c>
      <c r="O135" s="5" t="s">
        <v>83</v>
      </c>
      <c r="P135" s="5">
        <v>50.98</v>
      </c>
    </row>
    <row r="136" spans="1:16" x14ac:dyDescent="0.5">
      <c r="A136" s="5" t="s">
        <v>355</v>
      </c>
      <c r="B136" s="8">
        <v>45438</v>
      </c>
      <c r="C136" s="6">
        <v>0.5</v>
      </c>
      <c r="D136" s="5" t="s">
        <v>37</v>
      </c>
      <c r="E136" s="5" t="s">
        <v>24</v>
      </c>
      <c r="F136" s="5" t="s">
        <v>61</v>
      </c>
      <c r="G136" s="5">
        <v>33</v>
      </c>
      <c r="H136" s="5">
        <v>1.9</v>
      </c>
      <c r="I136" s="5">
        <v>28</v>
      </c>
      <c r="J136" s="5">
        <v>2428.42</v>
      </c>
      <c r="K136" s="5">
        <v>0.6</v>
      </c>
      <c r="L136" s="5" t="s">
        <v>834</v>
      </c>
      <c r="M136" s="5" t="s">
        <v>59</v>
      </c>
      <c r="N136" s="5">
        <v>5</v>
      </c>
      <c r="O136" s="5" t="s">
        <v>35</v>
      </c>
      <c r="P136" s="5">
        <v>0</v>
      </c>
    </row>
    <row r="137" spans="1:16" x14ac:dyDescent="0.5">
      <c r="A137" s="5" t="s">
        <v>356</v>
      </c>
      <c r="B137" s="8">
        <v>45481</v>
      </c>
      <c r="C137" s="6">
        <v>0.44166666666666665</v>
      </c>
      <c r="D137" s="5" t="s">
        <v>46</v>
      </c>
      <c r="E137" s="5" t="s">
        <v>54</v>
      </c>
      <c r="F137" s="5" t="s">
        <v>97</v>
      </c>
      <c r="G137" s="5">
        <v>0</v>
      </c>
      <c r="H137" s="5">
        <v>4.7</v>
      </c>
      <c r="I137" s="5">
        <v>53</v>
      </c>
      <c r="J137" s="5">
        <v>334.8</v>
      </c>
      <c r="K137" s="5">
        <v>0.15</v>
      </c>
      <c r="L137" s="5" t="s">
        <v>68</v>
      </c>
      <c r="M137" s="5" t="s">
        <v>28</v>
      </c>
      <c r="N137" s="5">
        <v>8</v>
      </c>
      <c r="O137" s="5" t="s">
        <v>43</v>
      </c>
      <c r="P137" s="5">
        <v>29.8</v>
      </c>
    </row>
    <row r="138" spans="1:16" x14ac:dyDescent="0.5">
      <c r="A138" s="5" t="s">
        <v>357</v>
      </c>
      <c r="B138" s="8">
        <v>45598</v>
      </c>
      <c r="C138" s="6">
        <v>0.5</v>
      </c>
      <c r="D138" s="5" t="s">
        <v>839</v>
      </c>
      <c r="E138" s="5" t="s">
        <v>17</v>
      </c>
      <c r="F138" s="5" t="s">
        <v>67</v>
      </c>
      <c r="G138" s="5">
        <v>38</v>
      </c>
      <c r="H138" s="5">
        <v>1.4</v>
      </c>
      <c r="I138" s="5">
        <v>60</v>
      </c>
      <c r="J138" s="5">
        <v>2427.8000000000002</v>
      </c>
      <c r="K138" s="5">
        <v>120</v>
      </c>
      <c r="L138" s="5" t="s">
        <v>27</v>
      </c>
      <c r="M138" s="5" t="s">
        <v>42</v>
      </c>
      <c r="N138" s="5">
        <v>5</v>
      </c>
      <c r="O138" s="5" t="s">
        <v>35</v>
      </c>
      <c r="P138" s="5">
        <v>49.85</v>
      </c>
    </row>
    <row r="139" spans="1:16" x14ac:dyDescent="0.5">
      <c r="A139" s="5" t="s">
        <v>358</v>
      </c>
      <c r="B139" s="8">
        <v>45297</v>
      </c>
      <c r="C139" s="6">
        <v>0.5</v>
      </c>
      <c r="D139" s="5" t="s">
        <v>112</v>
      </c>
      <c r="E139" s="5" t="s">
        <v>54</v>
      </c>
      <c r="F139" s="5" t="s">
        <v>55</v>
      </c>
      <c r="G139" s="5">
        <v>54</v>
      </c>
      <c r="H139" s="5">
        <v>3.9</v>
      </c>
      <c r="I139" s="5">
        <v>73</v>
      </c>
      <c r="J139" s="5">
        <v>2088.87</v>
      </c>
      <c r="K139" s="5">
        <v>0.15</v>
      </c>
      <c r="L139" s="5" t="s">
        <v>68</v>
      </c>
      <c r="M139" s="5" t="s">
        <v>28</v>
      </c>
      <c r="N139" s="5">
        <v>4</v>
      </c>
      <c r="O139" s="5" t="s">
        <v>83</v>
      </c>
      <c r="P139" s="5">
        <v>-20.48</v>
      </c>
    </row>
    <row r="140" spans="1:16" x14ac:dyDescent="0.5">
      <c r="A140" s="5" t="s">
        <v>845</v>
      </c>
      <c r="B140" s="8">
        <v>45359</v>
      </c>
      <c r="C140" s="6">
        <v>0.3347222222222222</v>
      </c>
      <c r="D140" s="5" t="s">
        <v>863</v>
      </c>
      <c r="E140" s="5" t="s">
        <v>49</v>
      </c>
      <c r="F140" s="5" t="s">
        <v>25</v>
      </c>
      <c r="G140" s="5">
        <v>24</v>
      </c>
      <c r="H140" s="5">
        <v>1.2</v>
      </c>
      <c r="I140" s="5">
        <v>75</v>
      </c>
      <c r="J140" s="5">
        <v>2281.58</v>
      </c>
      <c r="K140" s="5">
        <v>120</v>
      </c>
      <c r="L140" s="5" t="s">
        <v>27</v>
      </c>
      <c r="M140" s="5" t="s">
        <v>59</v>
      </c>
      <c r="N140" s="5">
        <v>6</v>
      </c>
      <c r="O140" s="5" t="s">
        <v>35</v>
      </c>
      <c r="P140" s="5">
        <v>111.56</v>
      </c>
    </row>
    <row r="141" spans="1:16" x14ac:dyDescent="0.5">
      <c r="A141" s="5" t="s">
        <v>360</v>
      </c>
      <c r="B141" s="8">
        <v>45411</v>
      </c>
      <c r="C141" s="6">
        <v>0.5</v>
      </c>
      <c r="D141" s="5" t="s">
        <v>31</v>
      </c>
      <c r="E141" s="5" t="s">
        <v>49</v>
      </c>
      <c r="F141" s="5" t="s">
        <v>61</v>
      </c>
      <c r="G141" s="5">
        <v>34</v>
      </c>
      <c r="H141" s="5">
        <v>2.7</v>
      </c>
      <c r="I141" s="5">
        <v>62</v>
      </c>
      <c r="J141" s="5">
        <v>2487.06</v>
      </c>
      <c r="K141" s="5">
        <v>0.5</v>
      </c>
      <c r="L141" s="5" t="s">
        <v>834</v>
      </c>
      <c r="M141" s="5" t="s">
        <v>28</v>
      </c>
      <c r="N141" s="5">
        <v>8</v>
      </c>
      <c r="O141" s="5" t="s">
        <v>21</v>
      </c>
      <c r="P141" s="5">
        <v>105.08</v>
      </c>
    </row>
    <row r="142" spans="1:16" x14ac:dyDescent="0.5">
      <c r="A142" s="5" t="s">
        <v>362</v>
      </c>
      <c r="B142" s="8">
        <v>45475</v>
      </c>
      <c r="C142" s="6">
        <v>0.5</v>
      </c>
      <c r="D142" s="5" t="s">
        <v>66</v>
      </c>
      <c r="E142" s="5" t="s">
        <v>54</v>
      </c>
      <c r="F142" s="5" t="s">
        <v>39</v>
      </c>
      <c r="G142" s="5">
        <v>49</v>
      </c>
      <c r="H142" s="5">
        <v>4.5</v>
      </c>
      <c r="I142" s="5">
        <v>0</v>
      </c>
      <c r="J142" s="5">
        <v>1741.52</v>
      </c>
      <c r="K142" s="5">
        <v>0.6</v>
      </c>
      <c r="L142" s="5" t="s">
        <v>834</v>
      </c>
      <c r="M142" s="5" t="s">
        <v>28</v>
      </c>
      <c r="N142" s="5">
        <v>1</v>
      </c>
      <c r="O142" s="5" t="s">
        <v>83</v>
      </c>
      <c r="P142" s="5">
        <v>233.8</v>
      </c>
    </row>
    <row r="143" spans="1:16" x14ac:dyDescent="0.5">
      <c r="A143" s="5" t="s">
        <v>363</v>
      </c>
      <c r="B143" s="8">
        <v>45437</v>
      </c>
      <c r="C143" s="6">
        <v>0.5</v>
      </c>
      <c r="D143" s="5" t="s">
        <v>46</v>
      </c>
      <c r="E143" s="5" t="s">
        <v>88</v>
      </c>
      <c r="F143" s="5" t="s">
        <v>33</v>
      </c>
      <c r="G143" s="5">
        <v>0</v>
      </c>
      <c r="H143" s="5">
        <v>2.6</v>
      </c>
      <c r="I143" s="5">
        <v>34</v>
      </c>
      <c r="J143" s="5">
        <v>407.03</v>
      </c>
      <c r="K143" s="5">
        <v>75</v>
      </c>
      <c r="L143" s="5" t="s">
        <v>27</v>
      </c>
      <c r="M143" s="5" t="s">
        <v>59</v>
      </c>
      <c r="N143" s="5">
        <v>8</v>
      </c>
      <c r="O143" s="5" t="s">
        <v>83</v>
      </c>
      <c r="P143" s="5">
        <v>169.64</v>
      </c>
    </row>
    <row r="144" spans="1:16" x14ac:dyDescent="0.5">
      <c r="A144" s="5" t="s">
        <v>364</v>
      </c>
      <c r="B144" s="8">
        <v>45401</v>
      </c>
      <c r="C144" s="6">
        <v>0.5</v>
      </c>
      <c r="D144" s="5" t="s">
        <v>839</v>
      </c>
      <c r="E144" s="5" t="s">
        <v>24</v>
      </c>
      <c r="F144" s="5" t="s">
        <v>67</v>
      </c>
      <c r="G144" s="5">
        <v>26</v>
      </c>
      <c r="H144" s="5">
        <v>2.2000000000000002</v>
      </c>
      <c r="I144" s="5">
        <v>42</v>
      </c>
      <c r="J144" s="5">
        <v>823.25</v>
      </c>
      <c r="K144" s="5">
        <v>0</v>
      </c>
      <c r="L144" s="5" t="s">
        <v>834</v>
      </c>
      <c r="M144" s="5" t="s">
        <v>28</v>
      </c>
      <c r="N144" s="5">
        <v>5</v>
      </c>
      <c r="O144" s="5" t="s">
        <v>51</v>
      </c>
      <c r="P144" s="5">
        <v>-42.4</v>
      </c>
    </row>
    <row r="145" spans="1:16" x14ac:dyDescent="0.5">
      <c r="A145" s="5" t="s">
        <v>366</v>
      </c>
      <c r="B145" s="8">
        <v>45392</v>
      </c>
      <c r="C145" s="6">
        <v>0.5</v>
      </c>
      <c r="D145" s="5" t="s">
        <v>31</v>
      </c>
      <c r="E145" s="5" t="s">
        <v>146</v>
      </c>
      <c r="F145" s="5" t="s">
        <v>367</v>
      </c>
      <c r="G145" s="5">
        <v>61</v>
      </c>
      <c r="H145" s="5">
        <v>3.1</v>
      </c>
      <c r="I145" s="5">
        <v>0</v>
      </c>
      <c r="J145" s="5">
        <v>397.69</v>
      </c>
      <c r="K145" s="5">
        <v>150</v>
      </c>
      <c r="L145" s="5" t="s">
        <v>837</v>
      </c>
      <c r="M145" s="5" t="s">
        <v>28</v>
      </c>
      <c r="N145" s="5">
        <v>7</v>
      </c>
      <c r="O145" s="5" t="s">
        <v>83</v>
      </c>
      <c r="P145" s="5">
        <v>-17.04</v>
      </c>
    </row>
    <row r="146" spans="1:16" x14ac:dyDescent="0.5">
      <c r="A146" s="5" t="s">
        <v>368</v>
      </c>
      <c r="B146" s="8">
        <v>45474</v>
      </c>
      <c r="C146" s="6">
        <v>0.5</v>
      </c>
      <c r="D146" s="5" t="s">
        <v>136</v>
      </c>
      <c r="E146" s="5" t="s">
        <v>58</v>
      </c>
      <c r="F146" s="5" t="s">
        <v>838</v>
      </c>
      <c r="G146" s="5">
        <v>27</v>
      </c>
      <c r="H146" s="5">
        <v>2.8</v>
      </c>
      <c r="I146" s="5">
        <v>17</v>
      </c>
      <c r="J146" s="5">
        <v>2166.3200000000002</v>
      </c>
      <c r="K146" s="5">
        <v>0.6</v>
      </c>
      <c r="L146" s="5" t="s">
        <v>837</v>
      </c>
      <c r="M146" s="5" t="s">
        <v>28</v>
      </c>
      <c r="N146" s="5">
        <v>10</v>
      </c>
      <c r="O146" s="5" t="s">
        <v>836</v>
      </c>
      <c r="P146" s="5">
        <v>80.87</v>
      </c>
    </row>
    <row r="147" spans="1:16" x14ac:dyDescent="0.5">
      <c r="A147" s="5" t="s">
        <v>370</v>
      </c>
      <c r="B147" s="8">
        <v>45465</v>
      </c>
      <c r="C147" s="6">
        <v>0.5</v>
      </c>
      <c r="D147" s="5" t="s">
        <v>46</v>
      </c>
      <c r="E147" s="5" t="s">
        <v>71</v>
      </c>
      <c r="F147" s="5" t="s">
        <v>61</v>
      </c>
      <c r="G147" s="5">
        <v>48</v>
      </c>
      <c r="H147" s="5">
        <v>1.9</v>
      </c>
      <c r="I147" s="5">
        <v>73</v>
      </c>
      <c r="J147" s="5">
        <v>1750.24</v>
      </c>
      <c r="K147" s="5">
        <v>150</v>
      </c>
      <c r="L147" s="5" t="s">
        <v>27</v>
      </c>
      <c r="M147" s="5" t="s">
        <v>28</v>
      </c>
      <c r="N147" s="5">
        <v>6</v>
      </c>
      <c r="O147" s="5" t="s">
        <v>43</v>
      </c>
      <c r="P147" s="5">
        <v>125.21</v>
      </c>
    </row>
    <row r="148" spans="1:16" x14ac:dyDescent="0.5">
      <c r="A148" s="5" t="s">
        <v>372</v>
      </c>
      <c r="B148" s="8">
        <v>45325</v>
      </c>
      <c r="C148" s="6">
        <v>0.5</v>
      </c>
      <c r="D148" s="5" t="s">
        <v>122</v>
      </c>
      <c r="E148" s="5" t="s">
        <v>58</v>
      </c>
      <c r="F148" s="5" t="s">
        <v>39</v>
      </c>
      <c r="G148" s="5">
        <v>50</v>
      </c>
      <c r="H148" s="5">
        <v>0</v>
      </c>
      <c r="I148" s="5">
        <v>42</v>
      </c>
      <c r="J148" s="5">
        <v>391.25</v>
      </c>
      <c r="K148" s="5">
        <v>100</v>
      </c>
      <c r="L148" s="5" t="s">
        <v>73</v>
      </c>
      <c r="M148" s="5" t="s">
        <v>28</v>
      </c>
      <c r="N148" s="5">
        <v>9</v>
      </c>
      <c r="O148" s="5" t="s">
        <v>51</v>
      </c>
      <c r="P148" s="5">
        <v>225.79</v>
      </c>
    </row>
    <row r="149" spans="1:16" x14ac:dyDescent="0.5">
      <c r="A149" s="5" t="s">
        <v>374</v>
      </c>
      <c r="B149" s="8">
        <v>45320</v>
      </c>
      <c r="C149" s="6">
        <v>0.15</v>
      </c>
      <c r="D149" s="5" t="s">
        <v>122</v>
      </c>
      <c r="E149" s="5" t="s">
        <v>93</v>
      </c>
      <c r="F149" s="5" t="s">
        <v>61</v>
      </c>
      <c r="G149" s="5">
        <v>64</v>
      </c>
      <c r="H149" s="5">
        <v>1.6</v>
      </c>
      <c r="I149" s="5">
        <v>32</v>
      </c>
      <c r="J149" s="5">
        <v>412.7</v>
      </c>
      <c r="K149" s="5">
        <v>0</v>
      </c>
      <c r="L149" s="5" t="s">
        <v>68</v>
      </c>
      <c r="M149" s="5" t="s">
        <v>42</v>
      </c>
      <c r="N149" s="5">
        <v>6</v>
      </c>
      <c r="O149" s="5" t="s">
        <v>836</v>
      </c>
      <c r="P149" s="5">
        <v>168.66</v>
      </c>
    </row>
    <row r="150" spans="1:16" x14ac:dyDescent="0.5">
      <c r="A150" s="5" t="s">
        <v>375</v>
      </c>
      <c r="B150" s="8">
        <v>45397</v>
      </c>
      <c r="C150" s="6">
        <v>0.5</v>
      </c>
      <c r="D150" s="5" t="s">
        <v>283</v>
      </c>
      <c r="E150" s="5" t="s">
        <v>49</v>
      </c>
      <c r="F150" s="5" t="s">
        <v>97</v>
      </c>
      <c r="G150" s="5">
        <v>21</v>
      </c>
      <c r="H150" s="5">
        <v>1.1000000000000001</v>
      </c>
      <c r="I150" s="5">
        <v>34</v>
      </c>
      <c r="J150" s="5">
        <v>2267.98</v>
      </c>
      <c r="K150" s="5">
        <v>150</v>
      </c>
      <c r="L150" s="5" t="s">
        <v>27</v>
      </c>
      <c r="M150" s="5" t="s">
        <v>28</v>
      </c>
      <c r="N150" s="5">
        <v>6</v>
      </c>
      <c r="O150" s="5" t="s">
        <v>21</v>
      </c>
      <c r="P150" s="5">
        <v>121.43</v>
      </c>
    </row>
    <row r="151" spans="1:16" x14ac:dyDescent="0.5">
      <c r="A151" s="5" t="s">
        <v>377</v>
      </c>
      <c r="B151" s="8">
        <v>45431</v>
      </c>
      <c r="C151" s="6">
        <v>0.38750000000000001</v>
      </c>
      <c r="D151" s="5" t="s">
        <v>112</v>
      </c>
      <c r="E151" s="5" t="s">
        <v>58</v>
      </c>
      <c r="F151" s="5" t="s">
        <v>55</v>
      </c>
      <c r="G151" s="5">
        <v>36</v>
      </c>
      <c r="H151" s="5">
        <v>3</v>
      </c>
      <c r="I151" s="5">
        <v>58</v>
      </c>
      <c r="J151" s="5">
        <v>1921.77</v>
      </c>
      <c r="K151" s="5">
        <v>0</v>
      </c>
      <c r="L151" s="5" t="s">
        <v>103</v>
      </c>
      <c r="M151" s="5" t="s">
        <v>28</v>
      </c>
      <c r="N151" s="5">
        <v>6</v>
      </c>
      <c r="O151" s="5" t="s">
        <v>83</v>
      </c>
      <c r="P151" s="5">
        <v>-64.25</v>
      </c>
    </row>
    <row r="152" spans="1:16" x14ac:dyDescent="0.5">
      <c r="A152" s="5" t="s">
        <v>378</v>
      </c>
      <c r="B152" s="8">
        <v>45480</v>
      </c>
      <c r="C152" s="6">
        <v>0.5</v>
      </c>
      <c r="D152" s="5" t="s">
        <v>66</v>
      </c>
      <c r="E152" s="5" t="s">
        <v>88</v>
      </c>
      <c r="F152" s="5" t="s">
        <v>78</v>
      </c>
      <c r="G152" s="5">
        <v>38</v>
      </c>
      <c r="H152" s="5">
        <v>1.8</v>
      </c>
      <c r="I152" s="5">
        <v>73</v>
      </c>
      <c r="J152" s="5">
        <v>353.21</v>
      </c>
      <c r="K152" s="5">
        <v>0</v>
      </c>
      <c r="L152" s="5" t="s">
        <v>834</v>
      </c>
      <c r="M152" s="5" t="s">
        <v>28</v>
      </c>
      <c r="N152" s="5">
        <v>9</v>
      </c>
      <c r="O152" s="5" t="s">
        <v>51</v>
      </c>
      <c r="P152" s="5">
        <v>112.82</v>
      </c>
    </row>
    <row r="153" spans="1:16" x14ac:dyDescent="0.5">
      <c r="A153" s="5" t="s">
        <v>379</v>
      </c>
      <c r="B153" s="8">
        <v>45417</v>
      </c>
      <c r="C153" s="6">
        <v>0.5</v>
      </c>
      <c r="D153" s="5" t="s">
        <v>136</v>
      </c>
      <c r="E153" s="5" t="s">
        <v>88</v>
      </c>
      <c r="F153" s="5" t="s">
        <v>838</v>
      </c>
      <c r="G153" s="5">
        <v>53</v>
      </c>
      <c r="H153" s="5">
        <v>4.8</v>
      </c>
      <c r="I153" s="5">
        <v>67</v>
      </c>
      <c r="J153" s="5">
        <v>382.6</v>
      </c>
      <c r="K153" s="5">
        <v>0.6</v>
      </c>
      <c r="L153" s="5" t="s">
        <v>68</v>
      </c>
      <c r="M153" s="5" t="s">
        <v>59</v>
      </c>
      <c r="N153" s="5">
        <v>10</v>
      </c>
      <c r="O153" s="5" t="s">
        <v>840</v>
      </c>
      <c r="P153" s="5">
        <v>215.1</v>
      </c>
    </row>
    <row r="154" spans="1:16" x14ac:dyDescent="0.5">
      <c r="A154" s="5" t="s">
        <v>380</v>
      </c>
      <c r="B154" s="8">
        <v>45417</v>
      </c>
      <c r="C154" s="6">
        <v>0.5</v>
      </c>
      <c r="D154" s="5" t="s">
        <v>839</v>
      </c>
      <c r="E154" s="5" t="s">
        <v>54</v>
      </c>
      <c r="F154" s="5" t="s">
        <v>67</v>
      </c>
      <c r="G154" s="5">
        <v>58</v>
      </c>
      <c r="H154" s="5">
        <v>2.8</v>
      </c>
      <c r="I154" s="5">
        <v>56</v>
      </c>
      <c r="J154" s="5">
        <v>332.57</v>
      </c>
      <c r="K154" s="5">
        <v>100</v>
      </c>
      <c r="L154" s="5" t="s">
        <v>68</v>
      </c>
      <c r="M154" s="5" t="s">
        <v>28</v>
      </c>
      <c r="N154" s="5">
        <v>1</v>
      </c>
      <c r="O154" s="5" t="s">
        <v>51</v>
      </c>
      <c r="P154" s="5">
        <v>21.92</v>
      </c>
    </row>
    <row r="155" spans="1:16" x14ac:dyDescent="0.5">
      <c r="A155" s="5" t="s">
        <v>381</v>
      </c>
      <c r="B155" s="8">
        <v>45479</v>
      </c>
      <c r="C155" s="6">
        <v>0.5</v>
      </c>
      <c r="D155" s="5" t="s">
        <v>46</v>
      </c>
      <c r="E155" s="5" t="s">
        <v>17</v>
      </c>
      <c r="F155" s="5" t="s">
        <v>39</v>
      </c>
      <c r="G155" s="5">
        <v>55</v>
      </c>
      <c r="H155" s="5">
        <v>4.2</v>
      </c>
      <c r="I155" s="5">
        <v>66</v>
      </c>
      <c r="J155" s="5">
        <v>1521.57</v>
      </c>
      <c r="K155" s="5">
        <v>75</v>
      </c>
      <c r="L155" s="5" t="s">
        <v>837</v>
      </c>
      <c r="M155" s="5" t="s">
        <v>28</v>
      </c>
      <c r="N155" s="5">
        <v>2</v>
      </c>
      <c r="O155" s="5" t="s">
        <v>51</v>
      </c>
      <c r="P155" s="5">
        <v>4.33</v>
      </c>
    </row>
    <row r="156" spans="1:16" x14ac:dyDescent="0.5">
      <c r="A156" s="5" t="s">
        <v>383</v>
      </c>
      <c r="B156" s="8">
        <v>45335</v>
      </c>
      <c r="C156" s="6">
        <v>8.3333333333333329E-2</v>
      </c>
      <c r="D156" s="5" t="s">
        <v>839</v>
      </c>
      <c r="E156" s="5" t="s">
        <v>49</v>
      </c>
      <c r="F156" s="5" t="s">
        <v>97</v>
      </c>
      <c r="G156" s="5">
        <v>50</v>
      </c>
      <c r="H156" s="5">
        <v>2.5</v>
      </c>
      <c r="I156" s="5">
        <v>18</v>
      </c>
      <c r="J156" s="5">
        <v>877.64</v>
      </c>
      <c r="K156" s="5">
        <v>0</v>
      </c>
      <c r="L156" s="5" t="s">
        <v>834</v>
      </c>
      <c r="M156" s="5" t="s">
        <v>59</v>
      </c>
      <c r="N156" s="5">
        <v>9</v>
      </c>
      <c r="O156" s="5" t="s">
        <v>836</v>
      </c>
      <c r="P156" s="5">
        <v>54.23</v>
      </c>
    </row>
    <row r="157" spans="1:16" x14ac:dyDescent="0.5">
      <c r="A157" s="5" t="s">
        <v>386</v>
      </c>
      <c r="B157" s="8">
        <v>45445</v>
      </c>
      <c r="C157" s="6">
        <v>0.5</v>
      </c>
      <c r="D157" s="5" t="s">
        <v>136</v>
      </c>
      <c r="E157" s="5" t="s">
        <v>24</v>
      </c>
      <c r="F157" s="5" t="s">
        <v>78</v>
      </c>
      <c r="G157" s="5">
        <v>48</v>
      </c>
      <c r="H157" s="5">
        <v>2</v>
      </c>
      <c r="I157" s="5">
        <v>59</v>
      </c>
      <c r="J157" s="5">
        <v>2125</v>
      </c>
      <c r="K157" s="5">
        <v>75</v>
      </c>
      <c r="L157" s="5" t="s">
        <v>834</v>
      </c>
      <c r="M157" s="5" t="s">
        <v>28</v>
      </c>
      <c r="N157" s="5">
        <v>9</v>
      </c>
      <c r="O157" s="5" t="s">
        <v>83</v>
      </c>
      <c r="P157" s="5">
        <v>86.59</v>
      </c>
    </row>
    <row r="158" spans="1:16" x14ac:dyDescent="0.5">
      <c r="A158" s="5" t="s">
        <v>388</v>
      </c>
      <c r="B158" s="8">
        <v>45454</v>
      </c>
      <c r="C158" s="6">
        <v>0.5</v>
      </c>
      <c r="D158" s="5" t="s">
        <v>31</v>
      </c>
      <c r="E158" s="5" t="s">
        <v>24</v>
      </c>
      <c r="F158" s="5" t="s">
        <v>389</v>
      </c>
      <c r="G158" s="5">
        <v>0</v>
      </c>
      <c r="H158" s="5">
        <v>0</v>
      </c>
      <c r="I158" s="5">
        <v>50</v>
      </c>
      <c r="J158" s="5">
        <v>2250.7399999999998</v>
      </c>
      <c r="K158" s="5">
        <v>120</v>
      </c>
      <c r="L158" s="5" t="s">
        <v>834</v>
      </c>
      <c r="M158" s="5" t="s">
        <v>28</v>
      </c>
      <c r="N158" s="5">
        <v>2</v>
      </c>
      <c r="O158" s="5" t="s">
        <v>83</v>
      </c>
      <c r="P158" s="5">
        <v>118.43</v>
      </c>
    </row>
    <row r="159" spans="1:16" x14ac:dyDescent="0.5">
      <c r="A159" s="5" t="s">
        <v>390</v>
      </c>
      <c r="B159" s="8">
        <v>45352</v>
      </c>
      <c r="C159" s="6">
        <v>0.5</v>
      </c>
      <c r="D159" s="5" t="s">
        <v>248</v>
      </c>
      <c r="E159" s="5" t="s">
        <v>54</v>
      </c>
      <c r="F159" s="5" t="s">
        <v>78</v>
      </c>
      <c r="G159" s="5">
        <v>41</v>
      </c>
      <c r="H159" s="5">
        <v>0</v>
      </c>
      <c r="I159" s="5">
        <v>41</v>
      </c>
      <c r="J159" s="5">
        <v>136.97999999999999</v>
      </c>
      <c r="K159" s="5">
        <v>0</v>
      </c>
      <c r="L159" s="5" t="s">
        <v>73</v>
      </c>
      <c r="M159" s="5" t="s">
        <v>28</v>
      </c>
      <c r="N159" s="5">
        <v>10</v>
      </c>
      <c r="O159" s="5" t="s">
        <v>35</v>
      </c>
      <c r="P159" s="5">
        <v>228.08</v>
      </c>
    </row>
    <row r="160" spans="1:16" x14ac:dyDescent="0.5">
      <c r="A160" s="5" t="s">
        <v>391</v>
      </c>
      <c r="B160" s="8">
        <v>45362</v>
      </c>
      <c r="C160" s="6">
        <v>0.5</v>
      </c>
      <c r="D160" s="5" t="s">
        <v>46</v>
      </c>
      <c r="E160" s="5" t="s">
        <v>88</v>
      </c>
      <c r="F160" s="5" t="s">
        <v>55</v>
      </c>
      <c r="G160" s="5">
        <v>45</v>
      </c>
      <c r="H160" s="5">
        <v>2.6</v>
      </c>
      <c r="I160" s="5">
        <v>48</v>
      </c>
      <c r="J160" s="5">
        <v>1230.48</v>
      </c>
      <c r="K160" s="5">
        <v>150</v>
      </c>
      <c r="L160" s="5" t="s">
        <v>68</v>
      </c>
      <c r="M160" s="5" t="s">
        <v>840</v>
      </c>
      <c r="N160" s="5">
        <v>2</v>
      </c>
      <c r="O160" s="5" t="s">
        <v>51</v>
      </c>
      <c r="P160" s="5">
        <v>-5.54</v>
      </c>
    </row>
    <row r="161" spans="1:16" x14ac:dyDescent="0.5">
      <c r="A161" s="5" t="s">
        <v>395</v>
      </c>
      <c r="B161" s="8">
        <v>45389</v>
      </c>
      <c r="C161" s="6">
        <v>0.5</v>
      </c>
      <c r="D161" s="5" t="s">
        <v>864</v>
      </c>
      <c r="E161" s="5" t="s">
        <v>71</v>
      </c>
      <c r="F161" s="5" t="s">
        <v>97</v>
      </c>
      <c r="G161" s="5">
        <v>39</v>
      </c>
      <c r="H161" s="5">
        <v>1.4</v>
      </c>
      <c r="I161" s="5">
        <v>0</v>
      </c>
      <c r="J161" s="5">
        <v>1817.65</v>
      </c>
      <c r="K161" s="5">
        <v>120</v>
      </c>
      <c r="L161" s="5" t="s">
        <v>68</v>
      </c>
      <c r="M161" s="5" t="s">
        <v>28</v>
      </c>
      <c r="N161" s="5">
        <v>1</v>
      </c>
      <c r="O161" s="5" t="s">
        <v>35</v>
      </c>
      <c r="P161" s="5">
        <v>236.71</v>
      </c>
    </row>
    <row r="162" spans="1:16" x14ac:dyDescent="0.5">
      <c r="A162" s="5" t="s">
        <v>397</v>
      </c>
      <c r="B162" s="8">
        <v>45490</v>
      </c>
      <c r="C162" s="6">
        <v>0.5</v>
      </c>
      <c r="D162" s="5" t="s">
        <v>23</v>
      </c>
      <c r="E162" s="5" t="s">
        <v>49</v>
      </c>
      <c r="F162" s="5" t="s">
        <v>39</v>
      </c>
      <c r="G162" s="5">
        <v>22</v>
      </c>
      <c r="H162" s="5">
        <v>3.7</v>
      </c>
      <c r="I162" s="5">
        <v>74</v>
      </c>
      <c r="J162" s="5">
        <v>1547.43</v>
      </c>
      <c r="K162" s="5">
        <v>75</v>
      </c>
      <c r="L162" s="5" t="s">
        <v>103</v>
      </c>
      <c r="M162" s="5" t="s">
        <v>28</v>
      </c>
      <c r="N162" s="5">
        <v>4</v>
      </c>
      <c r="O162" s="5" t="s">
        <v>43</v>
      </c>
      <c r="P162" s="5">
        <v>162.41</v>
      </c>
    </row>
    <row r="163" spans="1:16" x14ac:dyDescent="0.5">
      <c r="A163" s="5" t="s">
        <v>398</v>
      </c>
      <c r="B163" s="8">
        <v>45344</v>
      </c>
      <c r="C163" s="6">
        <v>0.5</v>
      </c>
      <c r="D163" s="5" t="s">
        <v>46</v>
      </c>
      <c r="E163" s="5" t="s">
        <v>93</v>
      </c>
      <c r="F163" s="5" t="s">
        <v>399</v>
      </c>
      <c r="G163" s="5">
        <v>32</v>
      </c>
      <c r="H163" s="5">
        <v>3.9</v>
      </c>
      <c r="I163" s="5">
        <v>46</v>
      </c>
      <c r="J163" s="5">
        <v>0</v>
      </c>
      <c r="K163" s="5">
        <v>0</v>
      </c>
      <c r="L163" s="5" t="s">
        <v>834</v>
      </c>
      <c r="M163" s="5" t="s">
        <v>28</v>
      </c>
      <c r="N163" s="5">
        <v>6</v>
      </c>
      <c r="O163" s="5" t="s">
        <v>83</v>
      </c>
      <c r="P163" s="5">
        <v>242.44</v>
      </c>
    </row>
    <row r="164" spans="1:16" x14ac:dyDescent="0.5">
      <c r="A164" s="5" t="s">
        <v>400</v>
      </c>
      <c r="B164" s="8">
        <v>45308</v>
      </c>
      <c r="C164" s="6">
        <v>0.5</v>
      </c>
      <c r="D164" s="5" t="s">
        <v>136</v>
      </c>
      <c r="E164" s="5" t="s">
        <v>146</v>
      </c>
      <c r="F164" s="5" t="s">
        <v>78</v>
      </c>
      <c r="G164" s="5">
        <v>33</v>
      </c>
      <c r="H164" s="5">
        <v>0</v>
      </c>
      <c r="I164" s="5">
        <v>31</v>
      </c>
      <c r="J164" s="5">
        <v>2146.58</v>
      </c>
      <c r="K164" s="5">
        <v>50</v>
      </c>
      <c r="L164" s="5" t="s">
        <v>27</v>
      </c>
      <c r="M164" s="5" t="s">
        <v>28</v>
      </c>
      <c r="N164" s="5">
        <v>9</v>
      </c>
      <c r="O164" s="5" t="s">
        <v>83</v>
      </c>
      <c r="P164" s="5">
        <v>26.2</v>
      </c>
    </row>
    <row r="165" spans="1:16" x14ac:dyDescent="0.5">
      <c r="A165" s="5" t="s">
        <v>401</v>
      </c>
      <c r="B165" s="8">
        <v>45418</v>
      </c>
      <c r="C165" s="6">
        <v>0.5</v>
      </c>
      <c r="D165" s="5" t="s">
        <v>70</v>
      </c>
      <c r="E165" s="5" t="s">
        <v>58</v>
      </c>
      <c r="F165" s="5" t="s">
        <v>55</v>
      </c>
      <c r="G165" s="5">
        <v>53</v>
      </c>
      <c r="H165" s="5">
        <v>4</v>
      </c>
      <c r="I165" s="5">
        <v>60</v>
      </c>
      <c r="J165" s="5">
        <v>667.82</v>
      </c>
      <c r="K165" s="5">
        <v>75</v>
      </c>
      <c r="L165" s="5" t="s">
        <v>837</v>
      </c>
      <c r="M165" s="5" t="s">
        <v>28</v>
      </c>
      <c r="N165" s="5">
        <v>4</v>
      </c>
      <c r="O165" s="5" t="s">
        <v>83</v>
      </c>
      <c r="P165" s="5">
        <v>-52.8</v>
      </c>
    </row>
    <row r="166" spans="1:16" x14ac:dyDescent="0.5">
      <c r="A166" s="5" t="s">
        <v>403</v>
      </c>
      <c r="B166" s="8">
        <v>45362</v>
      </c>
      <c r="C166" s="6">
        <v>0.5</v>
      </c>
      <c r="D166" s="5" t="s">
        <v>866</v>
      </c>
      <c r="E166" s="5" t="s">
        <v>54</v>
      </c>
      <c r="F166" s="5" t="s">
        <v>101</v>
      </c>
      <c r="G166" s="5">
        <v>63</v>
      </c>
      <c r="H166" s="5">
        <v>4.5999999999999996</v>
      </c>
      <c r="I166" s="5">
        <v>0</v>
      </c>
      <c r="J166" s="5">
        <v>832.75</v>
      </c>
      <c r="K166" s="5">
        <v>100</v>
      </c>
      <c r="L166" s="5" t="s">
        <v>848</v>
      </c>
      <c r="M166" s="5" t="s">
        <v>28</v>
      </c>
      <c r="N166" s="5">
        <v>4</v>
      </c>
      <c r="O166" s="5" t="s">
        <v>35</v>
      </c>
      <c r="P166" s="5">
        <v>-2.87</v>
      </c>
    </row>
    <row r="167" spans="1:16" x14ac:dyDescent="0.5">
      <c r="A167" s="5" t="s">
        <v>404</v>
      </c>
      <c r="B167" s="8">
        <v>45410</v>
      </c>
      <c r="C167" s="6">
        <v>0.48402777777777778</v>
      </c>
      <c r="D167" s="5" t="s">
        <v>839</v>
      </c>
      <c r="E167" s="5" t="s">
        <v>24</v>
      </c>
      <c r="F167" s="5" t="s">
        <v>78</v>
      </c>
      <c r="G167" s="5">
        <v>60</v>
      </c>
      <c r="H167" s="5">
        <v>2.4</v>
      </c>
      <c r="I167" s="5">
        <v>66</v>
      </c>
      <c r="J167" s="5">
        <v>1935.56</v>
      </c>
      <c r="K167" s="5">
        <v>0.6</v>
      </c>
      <c r="L167" s="5" t="s">
        <v>834</v>
      </c>
      <c r="M167" s="5" t="s">
        <v>42</v>
      </c>
      <c r="N167" s="5">
        <v>10</v>
      </c>
      <c r="O167" s="5" t="s">
        <v>51</v>
      </c>
      <c r="P167" s="5">
        <v>45.84</v>
      </c>
    </row>
    <row r="168" spans="1:16" x14ac:dyDescent="0.5">
      <c r="A168" s="5" t="s">
        <v>405</v>
      </c>
      <c r="B168" s="8">
        <v>45296</v>
      </c>
      <c r="C168" s="6">
        <v>0.5</v>
      </c>
      <c r="D168" s="5" t="s">
        <v>81</v>
      </c>
      <c r="E168" s="5" t="s">
        <v>838</v>
      </c>
      <c r="F168" s="5" t="s">
        <v>78</v>
      </c>
      <c r="G168" s="5">
        <v>36</v>
      </c>
      <c r="H168" s="5">
        <v>2.2000000000000002</v>
      </c>
      <c r="I168" s="5">
        <v>73</v>
      </c>
      <c r="J168" s="5">
        <v>256.74</v>
      </c>
      <c r="K168" s="5">
        <v>0.5</v>
      </c>
      <c r="L168" s="5" t="s">
        <v>837</v>
      </c>
      <c r="M168" s="5" t="s">
        <v>28</v>
      </c>
      <c r="N168" s="5">
        <v>4</v>
      </c>
      <c r="O168" s="5" t="s">
        <v>35</v>
      </c>
      <c r="P168" s="5">
        <v>189.91</v>
      </c>
    </row>
    <row r="169" spans="1:16" x14ac:dyDescent="0.5">
      <c r="A169" s="5" t="s">
        <v>406</v>
      </c>
      <c r="B169" s="8">
        <v>45371</v>
      </c>
      <c r="C169" s="6">
        <v>0.5</v>
      </c>
      <c r="D169" s="5" t="s">
        <v>407</v>
      </c>
      <c r="E169" s="5" t="s">
        <v>49</v>
      </c>
      <c r="F169" s="5" t="s">
        <v>25</v>
      </c>
      <c r="G169" s="5">
        <v>54</v>
      </c>
      <c r="H169" s="5">
        <v>0</v>
      </c>
      <c r="I169" s="5">
        <v>56</v>
      </c>
      <c r="J169" s="5">
        <v>2216.77</v>
      </c>
      <c r="K169" s="5">
        <v>150</v>
      </c>
      <c r="L169" s="5" t="s">
        <v>73</v>
      </c>
      <c r="M169" s="5" t="s">
        <v>28</v>
      </c>
      <c r="N169" s="5">
        <v>8</v>
      </c>
      <c r="O169" s="5" t="s">
        <v>43</v>
      </c>
      <c r="P169" s="5">
        <v>107.64</v>
      </c>
    </row>
    <row r="170" spans="1:16" x14ac:dyDescent="0.5">
      <c r="A170" s="5" t="s">
        <v>408</v>
      </c>
      <c r="B170" s="8">
        <v>45332</v>
      </c>
      <c r="C170" s="6">
        <v>0.5</v>
      </c>
      <c r="D170" s="5" t="s">
        <v>37</v>
      </c>
      <c r="E170" s="5" t="s">
        <v>58</v>
      </c>
      <c r="F170" s="5" t="s">
        <v>409</v>
      </c>
      <c r="G170" s="5">
        <v>38</v>
      </c>
      <c r="H170" s="5">
        <v>1.7</v>
      </c>
      <c r="I170" s="5">
        <v>17</v>
      </c>
      <c r="J170" s="5">
        <v>1219.96</v>
      </c>
      <c r="K170" s="5">
        <v>150</v>
      </c>
      <c r="L170" s="5" t="s">
        <v>837</v>
      </c>
      <c r="M170" s="5" t="s">
        <v>28</v>
      </c>
      <c r="N170" s="5">
        <v>3</v>
      </c>
      <c r="O170" s="5" t="s">
        <v>83</v>
      </c>
      <c r="P170" s="5">
        <v>72.25</v>
      </c>
    </row>
    <row r="171" spans="1:16" x14ac:dyDescent="0.5">
      <c r="A171" s="5" t="s">
        <v>417</v>
      </c>
      <c r="B171" s="8">
        <v>45378</v>
      </c>
      <c r="C171" s="6">
        <v>0.27291666666666664</v>
      </c>
      <c r="D171" s="5" t="s">
        <v>866</v>
      </c>
      <c r="E171" s="5" t="s">
        <v>49</v>
      </c>
      <c r="F171" s="5" t="s">
        <v>18</v>
      </c>
      <c r="G171" s="5">
        <v>31</v>
      </c>
      <c r="H171" s="5">
        <v>2.6</v>
      </c>
      <c r="I171" s="5">
        <v>44</v>
      </c>
      <c r="J171" s="5">
        <v>628.79999999999995</v>
      </c>
      <c r="K171" s="5">
        <v>0.5</v>
      </c>
      <c r="L171" s="5" t="s">
        <v>27</v>
      </c>
      <c r="M171" s="5" t="s">
        <v>28</v>
      </c>
      <c r="N171" s="5">
        <v>1</v>
      </c>
      <c r="O171" s="5" t="s">
        <v>21</v>
      </c>
      <c r="P171" s="5">
        <v>173.29</v>
      </c>
    </row>
    <row r="172" spans="1:16" x14ac:dyDescent="0.5">
      <c r="A172" s="5" t="s">
        <v>418</v>
      </c>
      <c r="B172" s="8">
        <v>45437</v>
      </c>
      <c r="C172" s="6">
        <v>0.5</v>
      </c>
      <c r="D172" s="5" t="s">
        <v>866</v>
      </c>
      <c r="E172" s="5" t="s">
        <v>49</v>
      </c>
      <c r="F172" s="5" t="s">
        <v>61</v>
      </c>
      <c r="G172" s="5">
        <v>0</v>
      </c>
      <c r="H172" s="5">
        <v>2.8</v>
      </c>
      <c r="I172" s="5">
        <v>44</v>
      </c>
      <c r="J172" s="5">
        <v>1318.14</v>
      </c>
      <c r="K172" s="5">
        <v>0</v>
      </c>
      <c r="L172" s="5" t="s">
        <v>834</v>
      </c>
      <c r="M172" s="5" t="s">
        <v>28</v>
      </c>
      <c r="N172" s="5">
        <v>6</v>
      </c>
      <c r="O172" s="5" t="s">
        <v>43</v>
      </c>
      <c r="P172" s="5">
        <v>0</v>
      </c>
    </row>
    <row r="173" spans="1:16" x14ac:dyDescent="0.5">
      <c r="A173" s="5" t="s">
        <v>419</v>
      </c>
      <c r="B173" s="8">
        <v>45405</v>
      </c>
      <c r="C173" s="6">
        <v>0.5</v>
      </c>
      <c r="D173" s="5" t="s">
        <v>839</v>
      </c>
      <c r="E173" s="5" t="s">
        <v>54</v>
      </c>
      <c r="F173" s="5" t="s">
        <v>61</v>
      </c>
      <c r="G173" s="5">
        <v>33</v>
      </c>
      <c r="H173" s="5">
        <v>3.8</v>
      </c>
      <c r="I173" s="5">
        <v>70</v>
      </c>
      <c r="J173" s="5">
        <v>1027.94</v>
      </c>
      <c r="K173" s="5">
        <v>0</v>
      </c>
      <c r="L173" s="5" t="s">
        <v>834</v>
      </c>
      <c r="M173" s="5" t="s">
        <v>42</v>
      </c>
      <c r="N173" s="5">
        <v>9</v>
      </c>
      <c r="O173" s="5" t="s">
        <v>35</v>
      </c>
      <c r="P173" s="5">
        <v>159.25</v>
      </c>
    </row>
    <row r="174" spans="1:16" x14ac:dyDescent="0.5">
      <c r="A174" s="5" t="s">
        <v>421</v>
      </c>
      <c r="B174" s="8">
        <v>45337</v>
      </c>
      <c r="C174" s="6">
        <v>0.5</v>
      </c>
      <c r="D174" s="5" t="s">
        <v>23</v>
      </c>
      <c r="E174" s="5" t="s">
        <v>24</v>
      </c>
      <c r="F174" s="5" t="s">
        <v>33</v>
      </c>
      <c r="G174" s="5">
        <v>27</v>
      </c>
      <c r="H174" s="5">
        <v>4.2</v>
      </c>
      <c r="I174" s="5">
        <v>0</v>
      </c>
      <c r="J174" s="5">
        <v>1027.78</v>
      </c>
      <c r="K174" s="5">
        <v>75</v>
      </c>
      <c r="L174" s="5" t="s">
        <v>103</v>
      </c>
      <c r="M174" s="5" t="s">
        <v>28</v>
      </c>
      <c r="N174" s="5">
        <v>10</v>
      </c>
      <c r="O174" s="5" t="s">
        <v>43</v>
      </c>
      <c r="P174" s="5">
        <v>74.86</v>
      </c>
    </row>
    <row r="175" spans="1:16" x14ac:dyDescent="0.5">
      <c r="A175" s="5" t="s">
        <v>853</v>
      </c>
      <c r="B175" s="8">
        <v>45419</v>
      </c>
      <c r="C175" s="6">
        <v>0.5</v>
      </c>
      <c r="D175" s="5" t="s">
        <v>70</v>
      </c>
      <c r="E175" s="5" t="s">
        <v>146</v>
      </c>
      <c r="F175" s="5" t="s">
        <v>97</v>
      </c>
      <c r="G175" s="5">
        <v>34</v>
      </c>
      <c r="H175" s="5">
        <v>4</v>
      </c>
      <c r="I175" s="5">
        <v>77</v>
      </c>
      <c r="J175" s="5">
        <v>1631.25</v>
      </c>
      <c r="K175" s="5">
        <v>0</v>
      </c>
      <c r="L175" s="5" t="s">
        <v>837</v>
      </c>
      <c r="M175" s="5" t="s">
        <v>28</v>
      </c>
      <c r="N175" s="5">
        <v>1</v>
      </c>
      <c r="O175" s="5" t="s">
        <v>836</v>
      </c>
      <c r="P175" s="5">
        <v>119.79</v>
      </c>
    </row>
    <row r="176" spans="1:16" x14ac:dyDescent="0.5">
      <c r="A176" s="5" t="s">
        <v>423</v>
      </c>
      <c r="B176" s="8">
        <v>45440</v>
      </c>
      <c r="C176" s="6">
        <v>0.5</v>
      </c>
      <c r="D176" s="5" t="s">
        <v>46</v>
      </c>
      <c r="E176" s="5" t="s">
        <v>71</v>
      </c>
      <c r="F176" s="5" t="s">
        <v>18</v>
      </c>
      <c r="G176" s="5">
        <v>62</v>
      </c>
      <c r="H176" s="5">
        <v>4.9000000000000004</v>
      </c>
      <c r="I176" s="5">
        <v>63</v>
      </c>
      <c r="J176" s="5">
        <v>1514.87</v>
      </c>
      <c r="K176" s="5">
        <v>150</v>
      </c>
      <c r="L176" s="5" t="s">
        <v>834</v>
      </c>
      <c r="M176" s="5" t="s">
        <v>42</v>
      </c>
      <c r="N176" s="5">
        <v>5</v>
      </c>
      <c r="O176" s="5" t="s">
        <v>21</v>
      </c>
      <c r="P176" s="5">
        <v>-79.48</v>
      </c>
    </row>
    <row r="177" spans="1:16" x14ac:dyDescent="0.5">
      <c r="A177" s="5" t="s">
        <v>426</v>
      </c>
      <c r="B177" s="8">
        <v>45459</v>
      </c>
      <c r="C177" s="6">
        <v>0.40972222222222221</v>
      </c>
      <c r="D177" s="5" t="s">
        <v>136</v>
      </c>
      <c r="E177" s="5" t="s">
        <v>88</v>
      </c>
      <c r="F177" s="5" t="s">
        <v>33</v>
      </c>
      <c r="G177" s="5">
        <v>44</v>
      </c>
      <c r="H177" s="5">
        <v>4.7</v>
      </c>
      <c r="I177" s="5">
        <v>55</v>
      </c>
      <c r="J177" s="5">
        <v>515.38</v>
      </c>
      <c r="K177" s="5">
        <v>0.2</v>
      </c>
      <c r="L177" s="5" t="s">
        <v>834</v>
      </c>
      <c r="M177" s="5" t="s">
        <v>840</v>
      </c>
      <c r="N177" s="5">
        <v>1</v>
      </c>
      <c r="O177" s="5" t="s">
        <v>836</v>
      </c>
      <c r="P177" s="5">
        <v>-48.04</v>
      </c>
    </row>
    <row r="178" spans="1:16" x14ac:dyDescent="0.5">
      <c r="A178" s="5" t="s">
        <v>845</v>
      </c>
      <c r="B178" s="8">
        <v>45446</v>
      </c>
      <c r="C178" s="6">
        <v>0.5</v>
      </c>
      <c r="D178" s="5" t="s">
        <v>23</v>
      </c>
      <c r="E178" s="5" t="s">
        <v>38</v>
      </c>
      <c r="F178" s="5" t="s">
        <v>25</v>
      </c>
      <c r="G178" s="5">
        <v>40</v>
      </c>
      <c r="H178" s="5">
        <v>4.2</v>
      </c>
      <c r="I178" s="5">
        <v>0</v>
      </c>
      <c r="J178" s="5">
        <v>2191.89</v>
      </c>
      <c r="K178" s="5">
        <v>50</v>
      </c>
      <c r="L178" s="5" t="s">
        <v>834</v>
      </c>
      <c r="M178" s="5" t="s">
        <v>42</v>
      </c>
      <c r="N178" s="5">
        <v>8</v>
      </c>
      <c r="O178" s="5" t="s">
        <v>51</v>
      </c>
      <c r="P178" s="5">
        <v>245.44</v>
      </c>
    </row>
    <row r="179" spans="1:16" x14ac:dyDescent="0.5">
      <c r="A179" s="5" t="s">
        <v>854</v>
      </c>
      <c r="B179" s="8">
        <v>45303</v>
      </c>
      <c r="C179" s="6">
        <v>0.46250000000000002</v>
      </c>
      <c r="D179" s="5" t="s">
        <v>66</v>
      </c>
      <c r="E179" s="5" t="s">
        <v>71</v>
      </c>
      <c r="F179" s="5" t="s">
        <v>97</v>
      </c>
      <c r="G179" s="5">
        <v>51</v>
      </c>
      <c r="H179" s="5">
        <v>4.0999999999999996</v>
      </c>
      <c r="I179" s="5">
        <v>19</v>
      </c>
      <c r="J179" s="5">
        <v>424.31</v>
      </c>
      <c r="K179" s="5">
        <v>0.6</v>
      </c>
      <c r="L179" s="5" t="s">
        <v>837</v>
      </c>
      <c r="M179" s="5" t="s">
        <v>28</v>
      </c>
      <c r="N179" s="5">
        <v>2</v>
      </c>
      <c r="O179" s="5" t="s">
        <v>21</v>
      </c>
      <c r="P179" s="5">
        <v>-27.12</v>
      </c>
    </row>
    <row r="180" spans="1:16" x14ac:dyDescent="0.5">
      <c r="A180" s="5" t="s">
        <v>428</v>
      </c>
      <c r="B180" s="8">
        <v>45348</v>
      </c>
      <c r="C180" s="6">
        <v>0.3659722222222222</v>
      </c>
      <c r="D180" s="5" t="s">
        <v>112</v>
      </c>
      <c r="E180" s="5" t="s">
        <v>93</v>
      </c>
      <c r="F180" s="5" t="s">
        <v>78</v>
      </c>
      <c r="G180" s="5">
        <v>63</v>
      </c>
      <c r="H180" s="5">
        <v>3.9</v>
      </c>
      <c r="I180" s="5">
        <v>70</v>
      </c>
      <c r="J180" s="5">
        <v>2044.11</v>
      </c>
      <c r="K180" s="5">
        <v>0.1</v>
      </c>
      <c r="L180" s="5" t="s">
        <v>834</v>
      </c>
      <c r="M180" s="5" t="s">
        <v>28</v>
      </c>
      <c r="N180" s="5">
        <v>7</v>
      </c>
      <c r="O180" s="5" t="s">
        <v>51</v>
      </c>
      <c r="P180" s="5">
        <v>114.72</v>
      </c>
    </row>
    <row r="181" spans="1:16" x14ac:dyDescent="0.5">
      <c r="A181" s="5" t="s">
        <v>429</v>
      </c>
      <c r="B181" s="8">
        <v>45489</v>
      </c>
      <c r="C181" s="6">
        <v>0.51875000000000004</v>
      </c>
      <c r="D181" s="5" t="s">
        <v>136</v>
      </c>
      <c r="E181" s="5" t="s">
        <v>88</v>
      </c>
      <c r="F181" s="5" t="s">
        <v>101</v>
      </c>
      <c r="G181" s="5">
        <v>27</v>
      </c>
      <c r="H181" s="5">
        <v>4.4000000000000004</v>
      </c>
      <c r="I181" s="5">
        <v>19</v>
      </c>
      <c r="J181" s="5">
        <v>1545.34</v>
      </c>
      <c r="K181" s="5">
        <v>0</v>
      </c>
      <c r="L181" s="5" t="s">
        <v>73</v>
      </c>
      <c r="M181" s="5" t="s">
        <v>42</v>
      </c>
      <c r="N181" s="5">
        <v>6</v>
      </c>
      <c r="O181" s="5" t="s">
        <v>35</v>
      </c>
      <c r="P181" s="5">
        <v>161.78</v>
      </c>
    </row>
    <row r="182" spans="1:16" x14ac:dyDescent="0.5">
      <c r="A182" s="5" t="s">
        <v>430</v>
      </c>
      <c r="B182" s="8">
        <v>45490</v>
      </c>
      <c r="C182" s="6">
        <v>0.5</v>
      </c>
      <c r="D182" s="5" t="s">
        <v>31</v>
      </c>
      <c r="E182" s="5" t="s">
        <v>17</v>
      </c>
      <c r="F182" s="5" t="s">
        <v>61</v>
      </c>
      <c r="G182" s="5">
        <v>62</v>
      </c>
      <c r="H182" s="5">
        <v>3.8</v>
      </c>
      <c r="I182" s="5">
        <v>27</v>
      </c>
      <c r="J182" s="5">
        <v>431.54</v>
      </c>
      <c r="K182" s="5">
        <v>0</v>
      </c>
      <c r="L182" s="5" t="s">
        <v>27</v>
      </c>
      <c r="M182" s="5" t="s">
        <v>28</v>
      </c>
      <c r="N182" s="5">
        <v>4</v>
      </c>
      <c r="O182" s="5" t="s">
        <v>836</v>
      </c>
      <c r="P182" s="5">
        <v>39.53</v>
      </c>
    </row>
    <row r="183" spans="1:16" x14ac:dyDescent="0.5">
      <c r="A183" s="5" t="s">
        <v>431</v>
      </c>
      <c r="B183" s="8">
        <v>45329</v>
      </c>
      <c r="C183" s="6">
        <v>0.5</v>
      </c>
      <c r="D183" s="5" t="s">
        <v>70</v>
      </c>
      <c r="E183" s="5" t="s">
        <v>24</v>
      </c>
      <c r="F183" s="5" t="s">
        <v>18</v>
      </c>
      <c r="G183" s="5">
        <v>43</v>
      </c>
      <c r="H183" s="5">
        <v>1.5</v>
      </c>
      <c r="I183" s="5">
        <v>53</v>
      </c>
      <c r="J183" s="5">
        <v>1757.4</v>
      </c>
      <c r="K183" s="5">
        <v>100</v>
      </c>
      <c r="L183" s="5" t="s">
        <v>27</v>
      </c>
      <c r="M183" s="5" t="s">
        <v>28</v>
      </c>
      <c r="N183" s="5">
        <v>8</v>
      </c>
      <c r="O183" s="5" t="s">
        <v>840</v>
      </c>
      <c r="P183" s="5">
        <v>-41.51</v>
      </c>
    </row>
    <row r="184" spans="1:16" x14ac:dyDescent="0.5">
      <c r="A184" s="5" t="s">
        <v>855</v>
      </c>
      <c r="B184" s="8">
        <v>45344</v>
      </c>
      <c r="C184" s="6">
        <v>0.5</v>
      </c>
      <c r="D184" s="5" t="s">
        <v>37</v>
      </c>
      <c r="E184" s="5" t="s">
        <v>54</v>
      </c>
      <c r="F184" s="5" t="s">
        <v>268</v>
      </c>
      <c r="G184" s="5">
        <v>36</v>
      </c>
      <c r="H184" s="5">
        <v>2.8</v>
      </c>
      <c r="I184" s="5">
        <v>55</v>
      </c>
      <c r="J184" s="5">
        <v>1363.95</v>
      </c>
      <c r="K184" s="5">
        <v>0.6</v>
      </c>
      <c r="L184" s="5" t="s">
        <v>103</v>
      </c>
      <c r="M184" s="5" t="s">
        <v>42</v>
      </c>
      <c r="N184" s="5">
        <v>4</v>
      </c>
      <c r="O184" s="5" t="s">
        <v>35</v>
      </c>
      <c r="P184" s="5">
        <v>38.49</v>
      </c>
    </row>
    <row r="185" spans="1:16" x14ac:dyDescent="0.5">
      <c r="A185" s="5" t="s">
        <v>434</v>
      </c>
      <c r="B185" s="8">
        <v>45446</v>
      </c>
      <c r="C185" s="6">
        <v>0.5</v>
      </c>
      <c r="D185" s="5" t="s">
        <v>136</v>
      </c>
      <c r="E185" s="5" t="s">
        <v>71</v>
      </c>
      <c r="F185" s="5" t="s">
        <v>101</v>
      </c>
      <c r="G185" s="5">
        <v>60</v>
      </c>
      <c r="H185" s="5">
        <v>3</v>
      </c>
      <c r="I185" s="5">
        <v>67</v>
      </c>
      <c r="J185" s="5">
        <v>485.31</v>
      </c>
      <c r="K185" s="5">
        <v>0</v>
      </c>
      <c r="L185" s="5" t="s">
        <v>103</v>
      </c>
      <c r="M185" s="5" t="s">
        <v>28</v>
      </c>
      <c r="N185" s="5">
        <v>6</v>
      </c>
      <c r="O185" s="5" t="s">
        <v>83</v>
      </c>
      <c r="P185" s="5">
        <v>10.3</v>
      </c>
    </row>
    <row r="186" spans="1:16" x14ac:dyDescent="0.5">
      <c r="A186" s="5" t="s">
        <v>437</v>
      </c>
      <c r="B186" s="8">
        <v>45318</v>
      </c>
      <c r="C186" s="6">
        <v>0.5</v>
      </c>
      <c r="D186" s="5" t="s">
        <v>31</v>
      </c>
      <c r="E186" s="5" t="s">
        <v>38</v>
      </c>
      <c r="F186" s="5" t="s">
        <v>72</v>
      </c>
      <c r="G186" s="5">
        <v>42</v>
      </c>
      <c r="H186" s="5">
        <v>4.2</v>
      </c>
      <c r="I186" s="5">
        <v>66</v>
      </c>
      <c r="J186" s="5">
        <v>1254.93</v>
      </c>
      <c r="K186" s="5">
        <v>0</v>
      </c>
      <c r="L186" s="5" t="s">
        <v>103</v>
      </c>
      <c r="M186" s="5" t="s">
        <v>28</v>
      </c>
      <c r="N186" s="5">
        <v>6</v>
      </c>
      <c r="O186" s="5" t="s">
        <v>836</v>
      </c>
      <c r="P186" s="5">
        <v>58.02</v>
      </c>
    </row>
    <row r="187" spans="1:16" x14ac:dyDescent="0.5">
      <c r="A187" s="5" t="s">
        <v>439</v>
      </c>
      <c r="B187" s="8">
        <v>45411</v>
      </c>
      <c r="C187" s="6">
        <v>0.5</v>
      </c>
      <c r="D187" s="5" t="s">
        <v>70</v>
      </c>
      <c r="E187" s="5" t="s">
        <v>93</v>
      </c>
      <c r="F187" s="5" t="s">
        <v>440</v>
      </c>
      <c r="G187" s="5">
        <v>28</v>
      </c>
      <c r="H187" s="5">
        <v>1.3</v>
      </c>
      <c r="I187" s="5">
        <v>78</v>
      </c>
      <c r="J187" s="5">
        <v>0</v>
      </c>
      <c r="K187" s="5">
        <v>150</v>
      </c>
      <c r="L187" s="5" t="s">
        <v>103</v>
      </c>
      <c r="M187" s="5" t="s">
        <v>28</v>
      </c>
      <c r="N187" s="5">
        <v>1</v>
      </c>
      <c r="O187" s="5" t="s">
        <v>836</v>
      </c>
      <c r="P187" s="5">
        <v>33.869999999999997</v>
      </c>
    </row>
    <row r="188" spans="1:16" x14ac:dyDescent="0.5">
      <c r="A188" s="5" t="s">
        <v>441</v>
      </c>
      <c r="B188" s="8">
        <v>45427</v>
      </c>
      <c r="C188" s="6">
        <v>0.47222222222222221</v>
      </c>
      <c r="D188" s="5" t="s">
        <v>122</v>
      </c>
      <c r="E188" s="5" t="s">
        <v>58</v>
      </c>
      <c r="F188" s="5" t="s">
        <v>61</v>
      </c>
      <c r="G188" s="5">
        <v>25</v>
      </c>
      <c r="H188" s="5">
        <v>3.7</v>
      </c>
      <c r="I188" s="5">
        <v>30</v>
      </c>
      <c r="J188" s="5">
        <v>810.35</v>
      </c>
      <c r="K188" s="5">
        <v>0.1</v>
      </c>
      <c r="L188" s="5" t="s">
        <v>27</v>
      </c>
      <c r="M188" s="5" t="s">
        <v>835</v>
      </c>
      <c r="N188" s="5">
        <v>8</v>
      </c>
      <c r="O188" s="5" t="s">
        <v>21</v>
      </c>
      <c r="P188" s="5">
        <v>28.42</v>
      </c>
    </row>
    <row r="189" spans="1:16" x14ac:dyDescent="0.5">
      <c r="A189" s="5" t="s">
        <v>845</v>
      </c>
      <c r="B189" s="8">
        <v>45358</v>
      </c>
      <c r="C189" s="6">
        <v>0.5</v>
      </c>
      <c r="D189" s="5" t="s">
        <v>46</v>
      </c>
      <c r="E189" s="5" t="s">
        <v>49</v>
      </c>
      <c r="F189" s="5" t="s">
        <v>101</v>
      </c>
      <c r="G189" s="5">
        <v>29</v>
      </c>
      <c r="H189" s="5">
        <v>2.1</v>
      </c>
      <c r="I189" s="5">
        <v>71</v>
      </c>
      <c r="J189" s="5">
        <v>505.17</v>
      </c>
      <c r="K189" s="5">
        <v>75</v>
      </c>
      <c r="L189" s="5" t="s">
        <v>27</v>
      </c>
      <c r="M189" s="5" t="s">
        <v>28</v>
      </c>
      <c r="N189" s="5">
        <v>0</v>
      </c>
      <c r="O189" s="5" t="s">
        <v>836</v>
      </c>
      <c r="P189" s="5">
        <v>139.53</v>
      </c>
    </row>
    <row r="190" spans="1:16" x14ac:dyDescent="0.5">
      <c r="A190" s="5" t="s">
        <v>445</v>
      </c>
      <c r="B190" s="8">
        <v>45338</v>
      </c>
      <c r="C190" s="6">
        <v>0.5</v>
      </c>
      <c r="D190" s="5" t="s">
        <v>122</v>
      </c>
      <c r="E190" s="5" t="s">
        <v>54</v>
      </c>
      <c r="F190" s="5" t="s">
        <v>78</v>
      </c>
      <c r="G190" s="5">
        <v>62</v>
      </c>
      <c r="H190" s="5">
        <v>1.9</v>
      </c>
      <c r="I190" s="5">
        <v>76</v>
      </c>
      <c r="J190" s="5">
        <v>266.01</v>
      </c>
      <c r="K190" s="5">
        <v>0</v>
      </c>
      <c r="L190" s="5" t="s">
        <v>834</v>
      </c>
      <c r="M190" s="5" t="s">
        <v>28</v>
      </c>
      <c r="N190" s="5">
        <v>1</v>
      </c>
      <c r="O190" s="5" t="s">
        <v>21</v>
      </c>
      <c r="P190" s="5">
        <v>14.15</v>
      </c>
    </row>
    <row r="191" spans="1:16" x14ac:dyDescent="0.5">
      <c r="A191" s="5" t="s">
        <v>446</v>
      </c>
      <c r="B191" s="8">
        <v>45415</v>
      </c>
      <c r="C191" s="6">
        <v>0.5</v>
      </c>
      <c r="D191" s="5" t="s">
        <v>23</v>
      </c>
      <c r="E191" s="5" t="s">
        <v>49</v>
      </c>
      <c r="F191" s="5" t="s">
        <v>78</v>
      </c>
      <c r="G191" s="5">
        <v>42</v>
      </c>
      <c r="H191" s="5">
        <v>1.4</v>
      </c>
      <c r="I191" s="5">
        <v>30</v>
      </c>
      <c r="J191" s="5">
        <v>217.67</v>
      </c>
      <c r="K191" s="5">
        <v>50</v>
      </c>
      <c r="L191" s="5" t="s">
        <v>68</v>
      </c>
      <c r="M191" s="5" t="s">
        <v>28</v>
      </c>
      <c r="N191" s="5">
        <v>4</v>
      </c>
      <c r="O191" s="5" t="s">
        <v>51</v>
      </c>
      <c r="P191" s="5">
        <v>-16.739999999999998</v>
      </c>
    </row>
    <row r="192" spans="1:16" x14ac:dyDescent="0.5">
      <c r="A192" s="5" t="s">
        <v>447</v>
      </c>
      <c r="B192" s="8">
        <v>45435</v>
      </c>
      <c r="C192" s="6">
        <v>0.5</v>
      </c>
      <c r="D192" s="5" t="s">
        <v>81</v>
      </c>
      <c r="E192" s="5" t="s">
        <v>88</v>
      </c>
      <c r="F192" s="5" t="s">
        <v>78</v>
      </c>
      <c r="G192" s="5">
        <v>21</v>
      </c>
      <c r="H192" s="5">
        <v>3.8</v>
      </c>
      <c r="I192" s="5">
        <v>65</v>
      </c>
      <c r="J192" s="5">
        <v>1298.1600000000001</v>
      </c>
      <c r="K192" s="5">
        <v>0</v>
      </c>
      <c r="L192" s="5" t="s">
        <v>68</v>
      </c>
      <c r="M192" s="5" t="s">
        <v>28</v>
      </c>
      <c r="N192" s="5">
        <v>3</v>
      </c>
      <c r="O192" s="5" t="s">
        <v>51</v>
      </c>
      <c r="P192" s="5">
        <v>210.12</v>
      </c>
    </row>
    <row r="193" spans="1:16" x14ac:dyDescent="0.5">
      <c r="A193" s="5" t="s">
        <v>450</v>
      </c>
      <c r="B193" s="8">
        <v>45429</v>
      </c>
      <c r="C193" s="6">
        <v>0.5</v>
      </c>
      <c r="D193" s="5" t="s">
        <v>122</v>
      </c>
      <c r="E193" s="5" t="s">
        <v>146</v>
      </c>
      <c r="F193" s="5" t="s">
        <v>101</v>
      </c>
      <c r="G193" s="5">
        <v>46</v>
      </c>
      <c r="H193" s="5">
        <v>3.9</v>
      </c>
      <c r="I193" s="5">
        <v>76</v>
      </c>
      <c r="J193" s="5">
        <v>342.98</v>
      </c>
      <c r="K193" s="5">
        <v>0.15</v>
      </c>
      <c r="L193" s="5" t="s">
        <v>68</v>
      </c>
      <c r="M193" s="5" t="s">
        <v>840</v>
      </c>
      <c r="N193" s="5">
        <v>3</v>
      </c>
      <c r="O193" s="5" t="s">
        <v>43</v>
      </c>
      <c r="P193" s="5">
        <v>-32.64</v>
      </c>
    </row>
    <row r="194" spans="1:16" x14ac:dyDescent="0.5">
      <c r="A194" s="5" t="s">
        <v>451</v>
      </c>
      <c r="B194" s="8">
        <v>45395</v>
      </c>
      <c r="C194" s="6">
        <v>0.1423611111111111</v>
      </c>
      <c r="D194" s="5" t="s">
        <v>136</v>
      </c>
      <c r="E194" s="5" t="s">
        <v>17</v>
      </c>
      <c r="F194" s="5" t="s">
        <v>39</v>
      </c>
      <c r="G194" s="5">
        <v>56</v>
      </c>
      <c r="H194" s="5">
        <v>0</v>
      </c>
      <c r="I194" s="5">
        <v>28</v>
      </c>
      <c r="J194" s="5">
        <v>1410.84</v>
      </c>
      <c r="K194" s="5">
        <v>0</v>
      </c>
      <c r="L194" s="5" t="s">
        <v>68</v>
      </c>
      <c r="M194" s="5" t="s">
        <v>42</v>
      </c>
      <c r="N194" s="5">
        <v>9</v>
      </c>
      <c r="O194" s="5" t="s">
        <v>836</v>
      </c>
      <c r="P194" s="5">
        <v>0</v>
      </c>
    </row>
    <row r="195" spans="1:16" x14ac:dyDescent="0.5">
      <c r="A195" s="5" t="s">
        <v>455</v>
      </c>
      <c r="B195" s="8">
        <v>45474</v>
      </c>
      <c r="C195" s="6">
        <v>0.10833333333333334</v>
      </c>
      <c r="D195" s="5" t="s">
        <v>136</v>
      </c>
      <c r="E195" s="5" t="s">
        <v>24</v>
      </c>
      <c r="F195" s="5" t="s">
        <v>101</v>
      </c>
      <c r="G195" s="5">
        <v>40</v>
      </c>
      <c r="H195" s="5">
        <v>2.7</v>
      </c>
      <c r="I195" s="5">
        <v>67</v>
      </c>
      <c r="J195" s="5">
        <v>1552.15</v>
      </c>
      <c r="K195" s="5">
        <v>0.15</v>
      </c>
      <c r="L195" s="5" t="s">
        <v>837</v>
      </c>
      <c r="M195" s="5" t="s">
        <v>28</v>
      </c>
      <c r="N195" s="5">
        <v>7</v>
      </c>
      <c r="O195" s="5" t="s">
        <v>51</v>
      </c>
      <c r="P195" s="5">
        <v>166.93</v>
      </c>
    </row>
    <row r="196" spans="1:16" x14ac:dyDescent="0.5">
      <c r="A196" s="5" t="s">
        <v>849</v>
      </c>
      <c r="B196" s="8">
        <v>45326</v>
      </c>
      <c r="C196" s="6">
        <v>0.5</v>
      </c>
      <c r="D196" s="5" t="s">
        <v>136</v>
      </c>
      <c r="E196" s="5" t="s">
        <v>49</v>
      </c>
      <c r="F196" s="5" t="s">
        <v>55</v>
      </c>
      <c r="G196" s="5">
        <v>62</v>
      </c>
      <c r="H196" s="5">
        <v>2.5</v>
      </c>
      <c r="I196" s="5">
        <v>0</v>
      </c>
      <c r="J196" s="5">
        <v>2416.4899999999998</v>
      </c>
      <c r="K196" s="5">
        <v>150</v>
      </c>
      <c r="L196" s="5" t="s">
        <v>103</v>
      </c>
      <c r="M196" s="5" t="s">
        <v>28</v>
      </c>
      <c r="N196" s="5">
        <v>1</v>
      </c>
      <c r="O196" s="5" t="s">
        <v>51</v>
      </c>
      <c r="P196" s="5">
        <v>172.59</v>
      </c>
    </row>
    <row r="197" spans="1:16" x14ac:dyDescent="0.5">
      <c r="A197" s="5" t="s">
        <v>460</v>
      </c>
      <c r="B197" s="8">
        <v>45334</v>
      </c>
      <c r="C197" s="6">
        <v>0.5</v>
      </c>
      <c r="D197" s="5" t="s">
        <v>112</v>
      </c>
      <c r="E197" s="5" t="s">
        <v>838</v>
      </c>
      <c r="F197" s="5" t="s">
        <v>101</v>
      </c>
      <c r="G197" s="5">
        <v>0</v>
      </c>
      <c r="H197" s="5">
        <v>1.8</v>
      </c>
      <c r="I197" s="5">
        <v>74</v>
      </c>
      <c r="J197" s="5">
        <v>197.03</v>
      </c>
      <c r="K197" s="5">
        <v>120</v>
      </c>
      <c r="L197" s="5" t="s">
        <v>834</v>
      </c>
      <c r="M197" s="5" t="s">
        <v>59</v>
      </c>
      <c r="N197" s="5">
        <v>5</v>
      </c>
      <c r="O197" s="5" t="s">
        <v>43</v>
      </c>
      <c r="P197" s="5">
        <v>48.91</v>
      </c>
    </row>
    <row r="198" spans="1:16" x14ac:dyDescent="0.5">
      <c r="A198" s="5" t="s">
        <v>461</v>
      </c>
      <c r="B198" s="8">
        <v>45376</v>
      </c>
      <c r="C198" s="6">
        <v>0.5</v>
      </c>
      <c r="D198" s="5" t="s">
        <v>37</v>
      </c>
      <c r="E198" s="5" t="s">
        <v>71</v>
      </c>
      <c r="F198" s="5" t="s">
        <v>33</v>
      </c>
      <c r="G198" s="5">
        <v>63</v>
      </c>
      <c r="H198" s="5">
        <v>1.9</v>
      </c>
      <c r="I198" s="5">
        <v>33</v>
      </c>
      <c r="J198" s="5">
        <v>1949.81</v>
      </c>
      <c r="K198" s="5">
        <v>120</v>
      </c>
      <c r="L198" s="5" t="s">
        <v>27</v>
      </c>
      <c r="M198" s="5" t="s">
        <v>28</v>
      </c>
      <c r="N198" s="5">
        <v>7</v>
      </c>
      <c r="O198" s="5" t="s">
        <v>21</v>
      </c>
      <c r="P198" s="5">
        <v>47.92</v>
      </c>
    </row>
    <row r="199" spans="1:16" x14ac:dyDescent="0.5">
      <c r="A199" s="5" t="s">
        <v>462</v>
      </c>
      <c r="B199" s="8">
        <v>45331</v>
      </c>
      <c r="C199" s="6">
        <v>0.30625000000000002</v>
      </c>
      <c r="D199" s="5" t="s">
        <v>81</v>
      </c>
      <c r="E199" s="5" t="s">
        <v>54</v>
      </c>
      <c r="F199" s="5" t="s">
        <v>97</v>
      </c>
      <c r="G199" s="5">
        <v>22</v>
      </c>
      <c r="H199" s="5">
        <v>2.5</v>
      </c>
      <c r="I199" s="5">
        <v>26</v>
      </c>
      <c r="J199" s="5">
        <v>1811.36</v>
      </c>
      <c r="K199" s="5">
        <v>75</v>
      </c>
      <c r="L199" s="5" t="s">
        <v>837</v>
      </c>
      <c r="M199" s="5" t="s">
        <v>28</v>
      </c>
      <c r="N199" s="5">
        <v>7</v>
      </c>
      <c r="O199" s="5" t="s">
        <v>51</v>
      </c>
      <c r="P199" s="5">
        <v>41.02</v>
      </c>
    </row>
    <row r="200" spans="1:16" x14ac:dyDescent="0.5">
      <c r="A200" s="5" t="s">
        <v>856</v>
      </c>
      <c r="B200" s="8">
        <v>45412</v>
      </c>
      <c r="C200" s="6">
        <v>0.20694444444444443</v>
      </c>
      <c r="D200" s="5" t="s">
        <v>839</v>
      </c>
      <c r="E200" s="5" t="s">
        <v>38</v>
      </c>
      <c r="F200" s="5" t="s">
        <v>25</v>
      </c>
      <c r="G200" s="5">
        <v>58</v>
      </c>
      <c r="H200" s="5">
        <v>1.6</v>
      </c>
      <c r="I200" s="5">
        <v>25</v>
      </c>
      <c r="J200" s="5">
        <v>830.04</v>
      </c>
      <c r="K200" s="5">
        <v>120</v>
      </c>
      <c r="L200" s="5" t="s">
        <v>68</v>
      </c>
      <c r="M200" s="5" t="s">
        <v>28</v>
      </c>
      <c r="N200" s="5">
        <v>5</v>
      </c>
      <c r="O200" s="5" t="s">
        <v>35</v>
      </c>
      <c r="P200" s="5">
        <v>78.94</v>
      </c>
    </row>
    <row r="201" spans="1:16" x14ac:dyDescent="0.5">
      <c r="A201" s="5" t="s">
        <v>467</v>
      </c>
      <c r="B201" s="8">
        <v>45403</v>
      </c>
      <c r="C201" s="6">
        <v>0.5</v>
      </c>
      <c r="D201" s="5" t="s">
        <v>122</v>
      </c>
      <c r="E201" s="5" t="s">
        <v>146</v>
      </c>
      <c r="F201" s="5" t="s">
        <v>33</v>
      </c>
      <c r="G201" s="5">
        <v>65</v>
      </c>
      <c r="H201" s="5">
        <v>1.1000000000000001</v>
      </c>
      <c r="I201" s="5">
        <v>33</v>
      </c>
      <c r="J201" s="5">
        <v>1308.68</v>
      </c>
      <c r="K201" s="5">
        <v>150</v>
      </c>
      <c r="L201" s="5" t="s">
        <v>837</v>
      </c>
      <c r="M201" s="5" t="s">
        <v>42</v>
      </c>
      <c r="N201" s="5">
        <v>1</v>
      </c>
      <c r="O201" s="5" t="s">
        <v>35</v>
      </c>
      <c r="P201" s="5">
        <v>149.83000000000001</v>
      </c>
    </row>
    <row r="202" spans="1:16" x14ac:dyDescent="0.5">
      <c r="A202" s="5" t="s">
        <v>469</v>
      </c>
      <c r="B202" s="8">
        <v>45345</v>
      </c>
      <c r="C202" s="6">
        <v>0.5</v>
      </c>
      <c r="D202" s="5" t="s">
        <v>122</v>
      </c>
      <c r="E202" s="5" t="s">
        <v>54</v>
      </c>
      <c r="F202" s="5" t="s">
        <v>67</v>
      </c>
      <c r="G202" s="5">
        <v>39</v>
      </c>
      <c r="H202" s="5">
        <v>1.7</v>
      </c>
      <c r="I202" s="5">
        <v>37</v>
      </c>
      <c r="J202" s="5">
        <v>1435.55</v>
      </c>
      <c r="K202" s="5">
        <v>75</v>
      </c>
      <c r="L202" s="5" t="s">
        <v>27</v>
      </c>
      <c r="M202" s="5" t="s">
        <v>28</v>
      </c>
      <c r="N202" s="5">
        <v>2</v>
      </c>
      <c r="O202" s="5" t="s">
        <v>21</v>
      </c>
      <c r="P202" s="5">
        <v>227.72</v>
      </c>
    </row>
    <row r="203" spans="1:16" x14ac:dyDescent="0.5">
      <c r="A203" s="5" t="s">
        <v>471</v>
      </c>
      <c r="B203" s="8">
        <v>45431</v>
      </c>
      <c r="C203" s="6">
        <v>0.14166666666666666</v>
      </c>
      <c r="D203" s="5" t="s">
        <v>37</v>
      </c>
      <c r="E203" s="5" t="s">
        <v>71</v>
      </c>
      <c r="F203" s="5" t="s">
        <v>97</v>
      </c>
      <c r="G203" s="5">
        <v>47</v>
      </c>
      <c r="H203" s="5">
        <v>4.3</v>
      </c>
      <c r="I203" s="5">
        <v>65</v>
      </c>
      <c r="J203" s="5">
        <v>138.1</v>
      </c>
      <c r="K203" s="5">
        <v>0.2</v>
      </c>
      <c r="L203" s="5" t="s">
        <v>73</v>
      </c>
      <c r="M203" s="5" t="s">
        <v>835</v>
      </c>
      <c r="N203" s="5">
        <v>0</v>
      </c>
      <c r="O203" s="5" t="s">
        <v>21</v>
      </c>
      <c r="P203" s="5">
        <v>189.51</v>
      </c>
    </row>
    <row r="204" spans="1:16" x14ac:dyDescent="0.5">
      <c r="A204" s="5" t="s">
        <v>473</v>
      </c>
      <c r="B204" s="8">
        <v>45438</v>
      </c>
      <c r="C204" s="6">
        <v>0.5</v>
      </c>
      <c r="D204" s="5" t="s">
        <v>70</v>
      </c>
      <c r="E204" s="5" t="s">
        <v>146</v>
      </c>
      <c r="F204" s="5" t="s">
        <v>33</v>
      </c>
      <c r="G204" s="5">
        <v>63</v>
      </c>
      <c r="H204" s="5">
        <v>3</v>
      </c>
      <c r="I204" s="5">
        <v>65</v>
      </c>
      <c r="J204" s="5">
        <v>2126.41</v>
      </c>
      <c r="K204" s="5">
        <v>0.6</v>
      </c>
      <c r="L204" s="5" t="s">
        <v>68</v>
      </c>
      <c r="M204" s="5" t="s">
        <v>840</v>
      </c>
      <c r="N204" s="5">
        <v>3</v>
      </c>
      <c r="O204" s="5" t="s">
        <v>21</v>
      </c>
      <c r="P204" s="5">
        <v>240.89</v>
      </c>
    </row>
    <row r="205" spans="1:16" x14ac:dyDescent="0.5">
      <c r="A205" s="5" t="s">
        <v>845</v>
      </c>
      <c r="B205" s="8">
        <v>45479</v>
      </c>
      <c r="C205" s="6">
        <v>0.5</v>
      </c>
      <c r="D205" s="5" t="s">
        <v>112</v>
      </c>
      <c r="E205" s="5" t="s">
        <v>54</v>
      </c>
      <c r="F205" s="5" t="s">
        <v>55</v>
      </c>
      <c r="G205" s="5">
        <v>58</v>
      </c>
      <c r="H205" s="5">
        <v>0</v>
      </c>
      <c r="I205" s="5">
        <v>28</v>
      </c>
      <c r="J205" s="5">
        <v>384.02</v>
      </c>
      <c r="K205" s="5">
        <v>0.15</v>
      </c>
      <c r="L205" s="5" t="s">
        <v>73</v>
      </c>
      <c r="M205" s="5" t="s">
        <v>59</v>
      </c>
      <c r="N205" s="5">
        <v>1</v>
      </c>
      <c r="O205" s="5" t="s">
        <v>43</v>
      </c>
      <c r="P205" s="5">
        <v>-54.82</v>
      </c>
    </row>
    <row r="206" spans="1:16" x14ac:dyDescent="0.5">
      <c r="A206" s="5" t="s">
        <v>474</v>
      </c>
      <c r="B206" s="8">
        <v>45407</v>
      </c>
      <c r="C206" s="6">
        <v>0.5</v>
      </c>
      <c r="D206" s="5" t="s">
        <v>46</v>
      </c>
      <c r="E206" s="5" t="s">
        <v>93</v>
      </c>
      <c r="F206" s="5" t="s">
        <v>475</v>
      </c>
      <c r="G206" s="5">
        <v>25</v>
      </c>
      <c r="H206" s="5">
        <v>1.1000000000000001</v>
      </c>
      <c r="I206" s="5">
        <v>0</v>
      </c>
      <c r="J206" s="5">
        <v>1337.95</v>
      </c>
      <c r="K206" s="5">
        <v>0</v>
      </c>
      <c r="L206" s="5" t="s">
        <v>840</v>
      </c>
      <c r="M206" s="5" t="s">
        <v>42</v>
      </c>
      <c r="N206" s="5">
        <v>5</v>
      </c>
      <c r="O206" s="5" t="s">
        <v>83</v>
      </c>
      <c r="P206" s="5">
        <v>35.020000000000003</v>
      </c>
    </row>
    <row r="207" spans="1:16" x14ac:dyDescent="0.5">
      <c r="A207" s="5" t="s">
        <v>476</v>
      </c>
      <c r="B207" s="8">
        <v>45448</v>
      </c>
      <c r="C207" s="6">
        <v>0.5</v>
      </c>
      <c r="D207" s="5" t="s">
        <v>70</v>
      </c>
      <c r="E207" s="5" t="s">
        <v>54</v>
      </c>
      <c r="F207" s="5" t="s">
        <v>78</v>
      </c>
      <c r="G207" s="5">
        <v>46</v>
      </c>
      <c r="H207" s="5">
        <v>4</v>
      </c>
      <c r="I207" s="5">
        <v>28</v>
      </c>
      <c r="J207" s="5">
        <v>1565.36</v>
      </c>
      <c r="K207" s="5">
        <v>75</v>
      </c>
      <c r="L207" s="5" t="s">
        <v>27</v>
      </c>
      <c r="M207" s="5" t="s">
        <v>28</v>
      </c>
      <c r="N207" s="5">
        <v>9</v>
      </c>
      <c r="O207" s="5" t="s">
        <v>83</v>
      </c>
      <c r="P207" s="5">
        <v>186.98</v>
      </c>
    </row>
    <row r="208" spans="1:16" x14ac:dyDescent="0.5">
      <c r="A208" s="5" t="s">
        <v>479</v>
      </c>
      <c r="B208" s="8">
        <v>45439</v>
      </c>
      <c r="C208" s="6">
        <v>0.5</v>
      </c>
      <c r="D208" s="5" t="s">
        <v>414</v>
      </c>
      <c r="E208" s="5" t="s">
        <v>88</v>
      </c>
      <c r="F208" s="5" t="s">
        <v>50</v>
      </c>
      <c r="G208" s="5">
        <v>35</v>
      </c>
      <c r="H208" s="5">
        <v>2.4</v>
      </c>
      <c r="I208" s="5">
        <v>64</v>
      </c>
      <c r="J208" s="5">
        <v>865.36</v>
      </c>
      <c r="K208" s="5">
        <v>0.5</v>
      </c>
      <c r="L208" s="5" t="s">
        <v>837</v>
      </c>
      <c r="M208" s="5" t="s">
        <v>59</v>
      </c>
      <c r="N208" s="5">
        <v>1</v>
      </c>
      <c r="O208" s="5" t="s">
        <v>35</v>
      </c>
      <c r="P208" s="5">
        <v>146.91</v>
      </c>
    </row>
    <row r="209" spans="1:16" x14ac:dyDescent="0.5">
      <c r="A209" s="5" t="s">
        <v>481</v>
      </c>
      <c r="B209" s="8">
        <v>45386</v>
      </c>
      <c r="C209" s="6">
        <v>0.5</v>
      </c>
      <c r="D209" s="5" t="s">
        <v>31</v>
      </c>
      <c r="E209" s="5" t="s">
        <v>54</v>
      </c>
      <c r="F209" s="5" t="s">
        <v>55</v>
      </c>
      <c r="G209" s="5">
        <v>26</v>
      </c>
      <c r="H209" s="5">
        <v>1.6</v>
      </c>
      <c r="I209" s="5">
        <v>67</v>
      </c>
      <c r="J209" s="5">
        <v>1635.83</v>
      </c>
      <c r="K209" s="5">
        <v>50</v>
      </c>
      <c r="L209" s="5" t="s">
        <v>103</v>
      </c>
      <c r="M209" s="5" t="s">
        <v>28</v>
      </c>
      <c r="N209" s="5">
        <v>2</v>
      </c>
      <c r="O209" s="5" t="s">
        <v>83</v>
      </c>
      <c r="P209" s="5">
        <v>137.63</v>
      </c>
    </row>
    <row r="210" spans="1:16" x14ac:dyDescent="0.5">
      <c r="A210" s="5" t="s">
        <v>482</v>
      </c>
      <c r="B210" s="8">
        <v>45418</v>
      </c>
      <c r="C210" s="6">
        <v>0.5</v>
      </c>
      <c r="D210" s="5" t="s">
        <v>112</v>
      </c>
      <c r="E210" s="5" t="s">
        <v>58</v>
      </c>
      <c r="F210" s="5" t="s">
        <v>61</v>
      </c>
      <c r="G210" s="5">
        <v>50</v>
      </c>
      <c r="H210" s="5">
        <v>1.5</v>
      </c>
      <c r="I210" s="5">
        <v>64</v>
      </c>
      <c r="J210" s="5">
        <v>2440.65</v>
      </c>
      <c r="K210" s="5">
        <v>100</v>
      </c>
      <c r="L210" s="5" t="s">
        <v>68</v>
      </c>
      <c r="M210" s="5" t="s">
        <v>28</v>
      </c>
      <c r="N210" s="5">
        <v>2</v>
      </c>
      <c r="O210" s="5" t="s">
        <v>840</v>
      </c>
      <c r="P210" s="5">
        <v>72.08</v>
      </c>
    </row>
    <row r="211" spans="1:16" x14ac:dyDescent="0.5">
      <c r="A211" s="5" t="s">
        <v>483</v>
      </c>
      <c r="B211" s="8">
        <v>45382</v>
      </c>
      <c r="C211" s="6">
        <v>0.5</v>
      </c>
      <c r="D211" s="5" t="s">
        <v>37</v>
      </c>
      <c r="E211" s="5" t="s">
        <v>88</v>
      </c>
      <c r="F211" s="5" t="s">
        <v>39</v>
      </c>
      <c r="G211" s="5">
        <v>43</v>
      </c>
      <c r="H211" s="5">
        <v>2.1</v>
      </c>
      <c r="I211" s="5">
        <v>70</v>
      </c>
      <c r="J211" s="5">
        <v>379.86</v>
      </c>
      <c r="K211" s="5">
        <v>0.1</v>
      </c>
      <c r="L211" s="5" t="s">
        <v>68</v>
      </c>
      <c r="M211" s="5" t="s">
        <v>42</v>
      </c>
      <c r="N211" s="5">
        <v>10</v>
      </c>
      <c r="O211" s="5" t="s">
        <v>836</v>
      </c>
      <c r="P211" s="5">
        <v>-46.57</v>
      </c>
    </row>
    <row r="212" spans="1:16" x14ac:dyDescent="0.5">
      <c r="A212" s="5" t="s">
        <v>485</v>
      </c>
      <c r="B212" s="8">
        <v>45344</v>
      </c>
      <c r="C212" s="6">
        <v>0.24305555555555555</v>
      </c>
      <c r="D212" s="5" t="s">
        <v>839</v>
      </c>
      <c r="E212" s="5" t="s">
        <v>49</v>
      </c>
      <c r="F212" s="5" t="s">
        <v>101</v>
      </c>
      <c r="G212" s="5">
        <v>28</v>
      </c>
      <c r="H212" s="5">
        <v>4.5999999999999996</v>
      </c>
      <c r="I212" s="5">
        <v>15</v>
      </c>
      <c r="J212" s="5">
        <v>1705.15</v>
      </c>
      <c r="K212" s="5">
        <v>0</v>
      </c>
      <c r="L212" s="5" t="s">
        <v>73</v>
      </c>
      <c r="M212" s="5" t="s">
        <v>28</v>
      </c>
      <c r="N212" s="5">
        <v>8</v>
      </c>
      <c r="O212" s="5" t="s">
        <v>35</v>
      </c>
      <c r="P212" s="5">
        <v>-74.260000000000005</v>
      </c>
    </row>
    <row r="213" spans="1:16" x14ac:dyDescent="0.5">
      <c r="A213" s="5" t="s">
        <v>487</v>
      </c>
      <c r="B213" s="8">
        <v>45420</v>
      </c>
      <c r="C213" s="6">
        <v>0.23749999999999999</v>
      </c>
      <c r="D213" s="5" t="s">
        <v>866</v>
      </c>
      <c r="E213" s="5" t="s">
        <v>38</v>
      </c>
      <c r="F213" s="5" t="s">
        <v>61</v>
      </c>
      <c r="G213" s="5">
        <v>51</v>
      </c>
      <c r="H213" s="5">
        <v>4.4000000000000004</v>
      </c>
      <c r="I213" s="5">
        <v>76</v>
      </c>
      <c r="J213" s="5">
        <v>388.37</v>
      </c>
      <c r="K213" s="5">
        <v>0</v>
      </c>
      <c r="L213" s="5" t="s">
        <v>68</v>
      </c>
      <c r="M213" s="5" t="s">
        <v>835</v>
      </c>
      <c r="N213" s="5">
        <v>2</v>
      </c>
      <c r="O213" s="5" t="s">
        <v>35</v>
      </c>
      <c r="P213" s="5">
        <v>-44.38</v>
      </c>
    </row>
    <row r="214" spans="1:16" x14ac:dyDescent="0.5">
      <c r="A214" s="5" t="s">
        <v>488</v>
      </c>
      <c r="B214" s="8">
        <v>45407</v>
      </c>
      <c r="C214" s="6">
        <v>0.5</v>
      </c>
      <c r="D214" s="5" t="s">
        <v>112</v>
      </c>
      <c r="E214" s="5" t="s">
        <v>54</v>
      </c>
      <c r="F214" s="5" t="s">
        <v>18</v>
      </c>
      <c r="G214" s="5">
        <v>54</v>
      </c>
      <c r="H214" s="5">
        <v>4.2</v>
      </c>
      <c r="I214" s="5">
        <v>16</v>
      </c>
      <c r="J214" s="5">
        <v>1307.45</v>
      </c>
      <c r="K214" s="5">
        <v>50</v>
      </c>
      <c r="L214" s="5" t="s">
        <v>103</v>
      </c>
      <c r="M214" s="5" t="s">
        <v>59</v>
      </c>
      <c r="N214" s="5">
        <v>8</v>
      </c>
      <c r="O214" s="5" t="s">
        <v>21</v>
      </c>
      <c r="P214" s="5">
        <v>-39.270000000000003</v>
      </c>
    </row>
    <row r="215" spans="1:16" x14ac:dyDescent="0.5">
      <c r="A215" s="5" t="s">
        <v>845</v>
      </c>
      <c r="B215" s="8">
        <v>45382</v>
      </c>
      <c r="C215" s="6">
        <v>0.5</v>
      </c>
      <c r="D215" s="5" t="s">
        <v>46</v>
      </c>
      <c r="E215" s="5" t="s">
        <v>88</v>
      </c>
      <c r="F215" s="5" t="s">
        <v>25</v>
      </c>
      <c r="G215" s="5">
        <v>0</v>
      </c>
      <c r="H215" s="5">
        <v>2</v>
      </c>
      <c r="I215" s="5">
        <v>64</v>
      </c>
      <c r="J215" s="5">
        <v>1125.7</v>
      </c>
      <c r="K215" s="5">
        <v>0</v>
      </c>
      <c r="L215" s="5" t="s">
        <v>73</v>
      </c>
      <c r="M215" s="5" t="s">
        <v>28</v>
      </c>
      <c r="N215" s="5">
        <v>4</v>
      </c>
      <c r="O215" s="5" t="s">
        <v>83</v>
      </c>
      <c r="P215" s="5">
        <v>19.350000000000001</v>
      </c>
    </row>
    <row r="216" spans="1:16" x14ac:dyDescent="0.5">
      <c r="A216" s="5" t="s">
        <v>493</v>
      </c>
      <c r="B216" s="8">
        <v>45415</v>
      </c>
      <c r="C216" s="6">
        <v>0.5</v>
      </c>
      <c r="D216" s="5" t="s">
        <v>866</v>
      </c>
      <c r="E216" s="5" t="s">
        <v>58</v>
      </c>
      <c r="F216" s="5" t="s">
        <v>33</v>
      </c>
      <c r="G216" s="5">
        <v>37</v>
      </c>
      <c r="H216" s="5">
        <v>4.7</v>
      </c>
      <c r="I216" s="5">
        <v>40</v>
      </c>
      <c r="J216" s="5">
        <v>0</v>
      </c>
      <c r="K216" s="5">
        <v>0</v>
      </c>
      <c r="L216" s="5" t="s">
        <v>103</v>
      </c>
      <c r="M216" s="5" t="s">
        <v>28</v>
      </c>
      <c r="N216" s="5">
        <v>7</v>
      </c>
      <c r="O216" s="5" t="s">
        <v>43</v>
      </c>
      <c r="P216" s="5">
        <v>197.77</v>
      </c>
    </row>
    <row r="217" spans="1:16" x14ac:dyDescent="0.5">
      <c r="A217" s="5" t="s">
        <v>494</v>
      </c>
      <c r="B217" s="8">
        <v>45460</v>
      </c>
      <c r="C217" s="6">
        <v>0.5</v>
      </c>
      <c r="D217" s="5" t="s">
        <v>136</v>
      </c>
      <c r="E217" s="5" t="s">
        <v>49</v>
      </c>
      <c r="F217" s="5" t="s">
        <v>67</v>
      </c>
      <c r="G217" s="5">
        <v>60</v>
      </c>
      <c r="H217" s="5">
        <v>2.5</v>
      </c>
      <c r="I217" s="5">
        <v>74</v>
      </c>
      <c r="J217" s="5">
        <v>1112.21</v>
      </c>
      <c r="K217" s="5">
        <v>0</v>
      </c>
      <c r="L217" s="5" t="s">
        <v>837</v>
      </c>
      <c r="M217" s="5" t="s">
        <v>28</v>
      </c>
      <c r="N217" s="5">
        <v>1</v>
      </c>
      <c r="O217" s="5" t="s">
        <v>83</v>
      </c>
      <c r="P217" s="5">
        <v>158.61000000000001</v>
      </c>
    </row>
    <row r="218" spans="1:16" x14ac:dyDescent="0.5">
      <c r="A218" s="5" t="s">
        <v>495</v>
      </c>
      <c r="B218" s="8">
        <v>45509</v>
      </c>
      <c r="C218" s="6">
        <v>0.5</v>
      </c>
      <c r="D218" s="5" t="s">
        <v>31</v>
      </c>
      <c r="E218" s="5" t="s">
        <v>146</v>
      </c>
      <c r="F218" s="5" t="s">
        <v>101</v>
      </c>
      <c r="G218" s="5">
        <v>59</v>
      </c>
      <c r="H218" s="5">
        <v>4.9000000000000004</v>
      </c>
      <c r="I218" s="5">
        <v>38</v>
      </c>
      <c r="J218" s="5">
        <v>1490.97</v>
      </c>
      <c r="K218" s="5">
        <v>120</v>
      </c>
      <c r="L218" s="5" t="s">
        <v>73</v>
      </c>
      <c r="M218" s="5" t="s">
        <v>59</v>
      </c>
      <c r="N218" s="5">
        <v>1</v>
      </c>
      <c r="O218" s="5" t="s">
        <v>836</v>
      </c>
      <c r="P218" s="5">
        <v>-44.95</v>
      </c>
    </row>
    <row r="219" spans="1:16" x14ac:dyDescent="0.5">
      <c r="A219" s="5" t="s">
        <v>496</v>
      </c>
      <c r="B219" s="8">
        <v>45489</v>
      </c>
      <c r="C219" s="6">
        <v>0.5</v>
      </c>
      <c r="D219" s="5" t="s">
        <v>136</v>
      </c>
      <c r="E219" s="5" t="s">
        <v>17</v>
      </c>
      <c r="F219" s="5" t="s">
        <v>97</v>
      </c>
      <c r="G219" s="5">
        <v>0</v>
      </c>
      <c r="H219" s="5">
        <v>1.4</v>
      </c>
      <c r="I219" s="5">
        <v>32</v>
      </c>
      <c r="J219" s="5">
        <v>2473.5100000000002</v>
      </c>
      <c r="K219" s="5">
        <v>0.2</v>
      </c>
      <c r="L219" s="5" t="s">
        <v>837</v>
      </c>
      <c r="M219" s="5" t="s">
        <v>42</v>
      </c>
      <c r="N219" s="5">
        <v>2</v>
      </c>
      <c r="O219" s="5" t="s">
        <v>840</v>
      </c>
      <c r="P219" s="5">
        <v>236.74</v>
      </c>
    </row>
    <row r="220" spans="1:16" x14ac:dyDescent="0.5">
      <c r="A220" s="5" t="s">
        <v>498</v>
      </c>
      <c r="B220" s="8">
        <v>45293</v>
      </c>
      <c r="C220" s="6">
        <v>0.51111111111111107</v>
      </c>
      <c r="D220" s="5" t="s">
        <v>122</v>
      </c>
      <c r="E220" s="5" t="s">
        <v>88</v>
      </c>
      <c r="F220" s="5" t="s">
        <v>67</v>
      </c>
      <c r="G220" s="5">
        <v>22</v>
      </c>
      <c r="H220" s="5">
        <v>3.5</v>
      </c>
      <c r="I220" s="5">
        <v>25</v>
      </c>
      <c r="J220" s="5">
        <v>422.72</v>
      </c>
      <c r="K220" s="5">
        <v>0.5</v>
      </c>
      <c r="L220" s="5" t="s">
        <v>68</v>
      </c>
      <c r="M220" s="5" t="s">
        <v>59</v>
      </c>
      <c r="N220" s="5">
        <v>2</v>
      </c>
      <c r="O220" s="5" t="s">
        <v>35</v>
      </c>
      <c r="P220" s="5">
        <v>109.87</v>
      </c>
    </row>
    <row r="221" spans="1:16" x14ac:dyDescent="0.5">
      <c r="A221" s="5" t="s">
        <v>499</v>
      </c>
      <c r="B221" s="8">
        <v>45394</v>
      </c>
      <c r="C221" s="6">
        <v>0.5</v>
      </c>
      <c r="D221" s="5" t="s">
        <v>31</v>
      </c>
      <c r="E221" s="5" t="s">
        <v>838</v>
      </c>
      <c r="F221" s="5" t="s">
        <v>55</v>
      </c>
      <c r="G221" s="5">
        <v>53</v>
      </c>
      <c r="H221" s="5">
        <v>2.2999999999999998</v>
      </c>
      <c r="I221" s="5">
        <v>22</v>
      </c>
      <c r="J221" s="5">
        <v>680.77</v>
      </c>
      <c r="K221" s="5">
        <v>120</v>
      </c>
      <c r="L221" s="5" t="s">
        <v>27</v>
      </c>
      <c r="M221" s="5" t="s">
        <v>28</v>
      </c>
      <c r="N221" s="5">
        <v>2</v>
      </c>
      <c r="O221" s="5" t="s">
        <v>51</v>
      </c>
      <c r="P221" s="5">
        <v>158.69999999999999</v>
      </c>
    </row>
    <row r="222" spans="1:16" x14ac:dyDescent="0.5">
      <c r="A222" s="5" t="s">
        <v>503</v>
      </c>
      <c r="B222" s="8">
        <v>45303</v>
      </c>
      <c r="C222" s="6">
        <v>0.5</v>
      </c>
      <c r="D222" s="5" t="s">
        <v>66</v>
      </c>
      <c r="E222" s="5" t="s">
        <v>49</v>
      </c>
      <c r="F222" s="5" t="s">
        <v>25</v>
      </c>
      <c r="G222" s="5">
        <v>60</v>
      </c>
      <c r="H222" s="5">
        <v>2</v>
      </c>
      <c r="I222" s="5">
        <v>78</v>
      </c>
      <c r="J222" s="5">
        <v>1798.51</v>
      </c>
      <c r="K222" s="5">
        <v>50</v>
      </c>
      <c r="L222" s="5" t="s">
        <v>837</v>
      </c>
      <c r="M222" s="5" t="s">
        <v>59</v>
      </c>
      <c r="N222" s="5">
        <v>6</v>
      </c>
      <c r="O222" s="5" t="s">
        <v>836</v>
      </c>
      <c r="P222" s="5">
        <v>34.39</v>
      </c>
    </row>
    <row r="223" spans="1:16" x14ac:dyDescent="0.5">
      <c r="A223" s="5" t="s">
        <v>504</v>
      </c>
      <c r="B223" s="8">
        <v>45312</v>
      </c>
      <c r="C223" s="6">
        <v>0.5</v>
      </c>
      <c r="D223" s="5" t="s">
        <v>37</v>
      </c>
      <c r="E223" s="5" t="s">
        <v>838</v>
      </c>
      <c r="F223" s="5" t="s">
        <v>25</v>
      </c>
      <c r="G223" s="5">
        <v>49</v>
      </c>
      <c r="H223" s="5">
        <v>2.1</v>
      </c>
      <c r="I223" s="5">
        <v>53</v>
      </c>
      <c r="J223" s="5">
        <v>2088.69</v>
      </c>
      <c r="K223" s="5">
        <v>0.6</v>
      </c>
      <c r="L223" s="5" t="s">
        <v>837</v>
      </c>
      <c r="M223" s="5" t="s">
        <v>28</v>
      </c>
      <c r="N223" s="5">
        <v>9</v>
      </c>
      <c r="O223" s="5" t="s">
        <v>21</v>
      </c>
      <c r="P223" s="5">
        <v>171.79</v>
      </c>
    </row>
    <row r="224" spans="1:16" x14ac:dyDescent="0.5">
      <c r="A224" s="5" t="s">
        <v>506</v>
      </c>
      <c r="B224" s="8">
        <v>45378</v>
      </c>
      <c r="C224" s="6">
        <v>0.5</v>
      </c>
      <c r="D224" s="5" t="s">
        <v>122</v>
      </c>
      <c r="E224" s="5" t="s">
        <v>146</v>
      </c>
      <c r="F224" s="5" t="s">
        <v>39</v>
      </c>
      <c r="G224" s="5">
        <v>36</v>
      </c>
      <c r="H224" s="5">
        <v>4.8</v>
      </c>
      <c r="I224" s="5">
        <v>48</v>
      </c>
      <c r="J224" s="5">
        <v>506.87</v>
      </c>
      <c r="K224" s="5">
        <v>50</v>
      </c>
      <c r="L224" s="5" t="s">
        <v>68</v>
      </c>
      <c r="M224" s="5" t="s">
        <v>59</v>
      </c>
      <c r="N224" s="5">
        <v>6</v>
      </c>
      <c r="O224" s="5" t="s">
        <v>51</v>
      </c>
      <c r="P224" s="5">
        <v>39.36</v>
      </c>
    </row>
    <row r="225" spans="1:16" x14ac:dyDescent="0.5">
      <c r="A225" s="5" t="s">
        <v>507</v>
      </c>
      <c r="B225" s="8">
        <v>45447</v>
      </c>
      <c r="C225" s="6">
        <v>0.5</v>
      </c>
      <c r="D225" s="5" t="s">
        <v>122</v>
      </c>
      <c r="E225" s="5" t="s">
        <v>17</v>
      </c>
      <c r="F225" s="5" t="s">
        <v>67</v>
      </c>
      <c r="G225" s="5">
        <v>23</v>
      </c>
      <c r="H225" s="5">
        <v>3.4</v>
      </c>
      <c r="I225" s="5">
        <v>23</v>
      </c>
      <c r="J225" s="5">
        <v>1168.25</v>
      </c>
      <c r="K225" s="5">
        <v>75</v>
      </c>
      <c r="L225" s="5" t="s">
        <v>837</v>
      </c>
      <c r="M225" s="5" t="s">
        <v>28</v>
      </c>
      <c r="N225" s="5">
        <v>3</v>
      </c>
      <c r="O225" s="5" t="s">
        <v>836</v>
      </c>
      <c r="P225" s="5">
        <v>24.72</v>
      </c>
    </row>
    <row r="226" spans="1:16" x14ac:dyDescent="0.5">
      <c r="A226" s="5" t="s">
        <v>510</v>
      </c>
      <c r="B226" s="8">
        <v>45474</v>
      </c>
      <c r="C226" s="6">
        <v>0.5</v>
      </c>
      <c r="D226" s="5" t="s">
        <v>70</v>
      </c>
      <c r="E226" s="5" t="s">
        <v>71</v>
      </c>
      <c r="F226" s="5" t="s">
        <v>25</v>
      </c>
      <c r="G226" s="5">
        <v>52</v>
      </c>
      <c r="H226" s="5">
        <v>4.4000000000000004</v>
      </c>
      <c r="I226" s="5">
        <v>21</v>
      </c>
      <c r="J226" s="5">
        <v>1564.9</v>
      </c>
      <c r="K226" s="5">
        <v>75</v>
      </c>
      <c r="L226" s="5" t="s">
        <v>73</v>
      </c>
      <c r="M226" s="5" t="s">
        <v>59</v>
      </c>
      <c r="N226" s="5">
        <v>8</v>
      </c>
      <c r="O226" s="5" t="s">
        <v>83</v>
      </c>
      <c r="P226" s="5">
        <v>-0.45</v>
      </c>
    </row>
    <row r="227" spans="1:16" x14ac:dyDescent="0.5">
      <c r="A227" s="5" t="s">
        <v>513</v>
      </c>
      <c r="B227" s="8">
        <v>45423</v>
      </c>
      <c r="C227" s="6">
        <v>0.5</v>
      </c>
      <c r="D227" s="5" t="s">
        <v>70</v>
      </c>
      <c r="E227" s="5" t="s">
        <v>93</v>
      </c>
      <c r="F227" s="5" t="s">
        <v>78</v>
      </c>
      <c r="G227" s="5">
        <v>40</v>
      </c>
      <c r="H227" s="5">
        <v>4.5999999999999996</v>
      </c>
      <c r="I227" s="5">
        <v>70</v>
      </c>
      <c r="J227" s="5">
        <v>808.51</v>
      </c>
      <c r="K227" s="5">
        <v>0.15</v>
      </c>
      <c r="L227" s="5" t="s">
        <v>27</v>
      </c>
      <c r="M227" s="5" t="s">
        <v>841</v>
      </c>
      <c r="N227" s="5">
        <v>8</v>
      </c>
      <c r="O227" s="5" t="s">
        <v>43</v>
      </c>
      <c r="P227" s="5">
        <v>158.44</v>
      </c>
    </row>
    <row r="228" spans="1:16" x14ac:dyDescent="0.5">
      <c r="A228" s="5" t="s">
        <v>514</v>
      </c>
      <c r="B228" s="8">
        <v>45418</v>
      </c>
      <c r="C228" s="6">
        <v>0.5</v>
      </c>
      <c r="D228" s="5" t="s">
        <v>37</v>
      </c>
      <c r="E228" s="5" t="s">
        <v>38</v>
      </c>
      <c r="F228" s="5" t="s">
        <v>39</v>
      </c>
      <c r="G228" s="5">
        <v>51</v>
      </c>
      <c r="H228" s="5">
        <v>4.5</v>
      </c>
      <c r="I228" s="5">
        <v>59</v>
      </c>
      <c r="J228" s="5">
        <v>797.8</v>
      </c>
      <c r="K228" s="5">
        <v>0.5</v>
      </c>
      <c r="L228" s="5" t="s">
        <v>68</v>
      </c>
      <c r="M228" s="5" t="s">
        <v>28</v>
      </c>
      <c r="N228" s="5">
        <v>3</v>
      </c>
      <c r="O228" s="5" t="s">
        <v>21</v>
      </c>
      <c r="P228" s="5">
        <v>0</v>
      </c>
    </row>
    <row r="229" spans="1:16" x14ac:dyDescent="0.5">
      <c r="A229" s="5" t="s">
        <v>516</v>
      </c>
      <c r="B229" s="8">
        <v>45430</v>
      </c>
      <c r="C229" s="6">
        <v>0.26458333333333334</v>
      </c>
      <c r="D229" s="5" t="s">
        <v>46</v>
      </c>
      <c r="E229" s="5" t="s">
        <v>146</v>
      </c>
      <c r="F229" s="5" t="s">
        <v>67</v>
      </c>
      <c r="G229" s="5">
        <v>46</v>
      </c>
      <c r="H229" s="5">
        <v>3</v>
      </c>
      <c r="I229" s="5">
        <v>23</v>
      </c>
      <c r="J229" s="5">
        <v>2483.52</v>
      </c>
      <c r="K229" s="5">
        <v>0.2</v>
      </c>
      <c r="L229" s="5" t="s">
        <v>834</v>
      </c>
      <c r="M229" s="5" t="s">
        <v>42</v>
      </c>
      <c r="N229" s="5">
        <v>9</v>
      </c>
      <c r="O229" s="5" t="s">
        <v>836</v>
      </c>
      <c r="P229" s="5">
        <v>23.89</v>
      </c>
    </row>
    <row r="230" spans="1:16" x14ac:dyDescent="0.5">
      <c r="A230" s="5" t="s">
        <v>518</v>
      </c>
      <c r="B230" s="8">
        <v>45425</v>
      </c>
      <c r="C230" s="6">
        <v>0.5</v>
      </c>
      <c r="D230" s="5" t="s">
        <v>283</v>
      </c>
      <c r="E230" s="5" t="s">
        <v>17</v>
      </c>
      <c r="F230" s="5" t="s">
        <v>25</v>
      </c>
      <c r="G230" s="5">
        <v>64</v>
      </c>
      <c r="H230" s="5">
        <v>1.5</v>
      </c>
      <c r="I230" s="5">
        <v>26</v>
      </c>
      <c r="J230" s="5">
        <v>2382.98</v>
      </c>
      <c r="K230" s="5">
        <v>0</v>
      </c>
      <c r="L230" s="5" t="s">
        <v>837</v>
      </c>
      <c r="M230" s="5" t="s">
        <v>42</v>
      </c>
      <c r="N230" s="5">
        <v>10</v>
      </c>
      <c r="O230" s="5" t="s">
        <v>35</v>
      </c>
      <c r="P230" s="5">
        <v>136.79</v>
      </c>
    </row>
    <row r="231" spans="1:16" x14ac:dyDescent="0.5">
      <c r="A231" s="5" t="s">
        <v>521</v>
      </c>
      <c r="B231" s="8">
        <v>45360</v>
      </c>
      <c r="C231" s="6">
        <v>0.19027777777777777</v>
      </c>
      <c r="D231" s="5" t="s">
        <v>839</v>
      </c>
      <c r="E231" s="5" t="s">
        <v>58</v>
      </c>
      <c r="F231" s="5" t="s">
        <v>97</v>
      </c>
      <c r="G231" s="5">
        <v>19</v>
      </c>
      <c r="H231" s="5">
        <v>1.1000000000000001</v>
      </c>
      <c r="I231" s="5">
        <v>57</v>
      </c>
      <c r="J231" s="5">
        <v>2291.1</v>
      </c>
      <c r="K231" s="5">
        <v>150</v>
      </c>
      <c r="L231" s="5" t="s">
        <v>834</v>
      </c>
      <c r="M231" s="5" t="s">
        <v>42</v>
      </c>
      <c r="N231" s="5">
        <v>5</v>
      </c>
      <c r="O231" s="5" t="s">
        <v>35</v>
      </c>
      <c r="P231" s="5">
        <v>-8.85</v>
      </c>
    </row>
    <row r="232" spans="1:16" x14ac:dyDescent="0.5">
      <c r="A232" s="5" t="s">
        <v>849</v>
      </c>
      <c r="B232" s="8">
        <v>45485</v>
      </c>
      <c r="C232" s="6">
        <v>0.5</v>
      </c>
      <c r="D232" s="5" t="s">
        <v>70</v>
      </c>
      <c r="E232" s="5" t="s">
        <v>17</v>
      </c>
      <c r="F232" s="5" t="s">
        <v>101</v>
      </c>
      <c r="G232" s="5">
        <v>65</v>
      </c>
      <c r="H232" s="5">
        <v>4.4000000000000004</v>
      </c>
      <c r="I232" s="5">
        <v>47</v>
      </c>
      <c r="J232" s="5">
        <v>1838.63</v>
      </c>
      <c r="K232" s="5">
        <v>0</v>
      </c>
      <c r="L232" s="5" t="s">
        <v>27</v>
      </c>
      <c r="M232" s="5" t="s">
        <v>28</v>
      </c>
      <c r="N232" s="5">
        <v>5</v>
      </c>
      <c r="O232" s="5" t="s">
        <v>83</v>
      </c>
      <c r="P232" s="5">
        <v>19.71</v>
      </c>
    </row>
    <row r="233" spans="1:16" x14ac:dyDescent="0.5">
      <c r="A233" s="5" t="s">
        <v>528</v>
      </c>
      <c r="B233" s="8">
        <v>45476</v>
      </c>
      <c r="C233" s="6">
        <v>0.5</v>
      </c>
      <c r="D233" s="5" t="s">
        <v>839</v>
      </c>
      <c r="E233" s="5" t="s">
        <v>88</v>
      </c>
      <c r="F233" s="5" t="s">
        <v>61</v>
      </c>
      <c r="G233" s="5">
        <v>65</v>
      </c>
      <c r="H233" s="5">
        <v>4.4000000000000004</v>
      </c>
      <c r="I233" s="5">
        <v>48</v>
      </c>
      <c r="J233" s="5">
        <v>1821.89</v>
      </c>
      <c r="K233" s="5">
        <v>0.15</v>
      </c>
      <c r="L233" s="5" t="s">
        <v>68</v>
      </c>
      <c r="M233" s="5" t="s">
        <v>42</v>
      </c>
      <c r="N233" s="5">
        <v>2</v>
      </c>
      <c r="O233" s="5" t="s">
        <v>21</v>
      </c>
      <c r="P233" s="5">
        <v>-57.97</v>
      </c>
    </row>
    <row r="234" spans="1:16" x14ac:dyDescent="0.5">
      <c r="A234" s="5" t="s">
        <v>529</v>
      </c>
      <c r="B234" s="8">
        <v>45295</v>
      </c>
      <c r="C234" s="6">
        <v>0.5</v>
      </c>
      <c r="D234" s="5" t="s">
        <v>70</v>
      </c>
      <c r="E234" s="5" t="s">
        <v>54</v>
      </c>
      <c r="F234" s="5" t="s">
        <v>78</v>
      </c>
      <c r="G234" s="5">
        <v>24</v>
      </c>
      <c r="H234" s="5">
        <v>3.1</v>
      </c>
      <c r="I234" s="5">
        <v>64</v>
      </c>
      <c r="J234" s="5">
        <v>905.78</v>
      </c>
      <c r="K234" s="5">
        <v>75</v>
      </c>
      <c r="L234" s="5" t="s">
        <v>27</v>
      </c>
      <c r="M234" s="5" t="s">
        <v>840</v>
      </c>
      <c r="N234" s="5">
        <v>4</v>
      </c>
      <c r="O234" s="5" t="s">
        <v>21</v>
      </c>
      <c r="P234" s="5">
        <v>-32.700000000000003</v>
      </c>
    </row>
    <row r="235" spans="1:16" x14ac:dyDescent="0.5">
      <c r="A235" s="5" t="s">
        <v>845</v>
      </c>
      <c r="B235" s="8">
        <v>45311</v>
      </c>
      <c r="C235" s="6">
        <v>0.5</v>
      </c>
      <c r="D235" s="5" t="s">
        <v>81</v>
      </c>
      <c r="E235" s="5" t="s">
        <v>58</v>
      </c>
      <c r="F235" s="5" t="s">
        <v>67</v>
      </c>
      <c r="G235" s="5">
        <v>56</v>
      </c>
      <c r="H235" s="5">
        <v>4.8</v>
      </c>
      <c r="I235" s="5">
        <v>50</v>
      </c>
      <c r="J235" s="5">
        <v>1813.01</v>
      </c>
      <c r="K235" s="5">
        <v>100</v>
      </c>
      <c r="L235" s="5" t="s">
        <v>27</v>
      </c>
      <c r="M235" s="5" t="s">
        <v>28</v>
      </c>
      <c r="N235" s="5">
        <v>8</v>
      </c>
      <c r="O235" s="5" t="s">
        <v>836</v>
      </c>
      <c r="P235" s="5">
        <v>123.6</v>
      </c>
    </row>
    <row r="236" spans="1:16" x14ac:dyDescent="0.5">
      <c r="A236" s="5" t="s">
        <v>530</v>
      </c>
      <c r="B236" s="8">
        <v>45387</v>
      </c>
      <c r="C236" s="6">
        <v>0.5</v>
      </c>
      <c r="D236" s="5" t="s">
        <v>46</v>
      </c>
      <c r="E236" s="5" t="s">
        <v>38</v>
      </c>
      <c r="F236" s="5" t="s">
        <v>531</v>
      </c>
      <c r="G236" s="5">
        <v>43</v>
      </c>
      <c r="H236" s="5">
        <v>0</v>
      </c>
      <c r="I236" s="5">
        <v>47</v>
      </c>
      <c r="J236" s="5">
        <v>772.53</v>
      </c>
      <c r="K236" s="5">
        <v>0</v>
      </c>
      <c r="L236" s="5" t="s">
        <v>27</v>
      </c>
      <c r="M236" s="5" t="s">
        <v>28</v>
      </c>
      <c r="N236" s="5">
        <v>9</v>
      </c>
      <c r="O236" s="5" t="s">
        <v>840</v>
      </c>
      <c r="P236" s="5">
        <v>-70.48</v>
      </c>
    </row>
    <row r="237" spans="1:16" x14ac:dyDescent="0.5">
      <c r="A237" s="5" t="s">
        <v>533</v>
      </c>
      <c r="B237" s="8">
        <v>45353</v>
      </c>
      <c r="C237" s="6">
        <v>0.5</v>
      </c>
      <c r="D237" s="5" t="s">
        <v>866</v>
      </c>
      <c r="E237" s="5" t="s">
        <v>88</v>
      </c>
      <c r="F237" s="5" t="s">
        <v>39</v>
      </c>
      <c r="G237" s="5">
        <v>28</v>
      </c>
      <c r="H237" s="5">
        <v>3.3</v>
      </c>
      <c r="I237" s="5">
        <v>16</v>
      </c>
      <c r="J237" s="5">
        <v>2358.5</v>
      </c>
      <c r="K237" s="5">
        <v>150</v>
      </c>
      <c r="L237" s="5" t="s">
        <v>834</v>
      </c>
      <c r="M237" s="5" t="s">
        <v>59</v>
      </c>
      <c r="N237" s="5">
        <v>4</v>
      </c>
      <c r="O237" s="5" t="s">
        <v>836</v>
      </c>
      <c r="P237" s="5">
        <v>166.45</v>
      </c>
    </row>
    <row r="238" spans="1:16" x14ac:dyDescent="0.5">
      <c r="A238" s="5" t="s">
        <v>845</v>
      </c>
      <c r="B238" s="8">
        <v>45599</v>
      </c>
      <c r="C238" s="6">
        <v>0.5</v>
      </c>
      <c r="D238" s="5" t="s">
        <v>839</v>
      </c>
      <c r="E238" s="5" t="s">
        <v>93</v>
      </c>
      <c r="F238" s="5" t="s">
        <v>33</v>
      </c>
      <c r="G238" s="5">
        <v>18</v>
      </c>
      <c r="H238" s="5">
        <v>2.5</v>
      </c>
      <c r="I238" s="5">
        <v>61</v>
      </c>
      <c r="J238" s="5">
        <v>2364.9</v>
      </c>
      <c r="K238" s="5">
        <v>50</v>
      </c>
      <c r="L238" s="5" t="s">
        <v>27</v>
      </c>
      <c r="M238" s="5" t="s">
        <v>59</v>
      </c>
      <c r="N238" s="5">
        <v>4</v>
      </c>
      <c r="O238" s="5" t="s">
        <v>35</v>
      </c>
      <c r="P238" s="5">
        <v>243.16</v>
      </c>
    </row>
    <row r="239" spans="1:16" x14ac:dyDescent="0.5">
      <c r="A239" s="5" t="s">
        <v>535</v>
      </c>
      <c r="B239" s="8">
        <v>45383</v>
      </c>
      <c r="C239" s="6">
        <v>0.5</v>
      </c>
      <c r="D239" s="5" t="s">
        <v>81</v>
      </c>
      <c r="E239" s="5" t="s">
        <v>54</v>
      </c>
      <c r="F239" s="5" t="s">
        <v>67</v>
      </c>
      <c r="G239" s="5">
        <v>43</v>
      </c>
      <c r="H239" s="5">
        <v>2</v>
      </c>
      <c r="I239" s="5">
        <v>58</v>
      </c>
      <c r="J239" s="5">
        <v>1268.49</v>
      </c>
      <c r="K239" s="5">
        <v>0</v>
      </c>
      <c r="L239" s="5" t="s">
        <v>68</v>
      </c>
      <c r="M239" s="5" t="s">
        <v>28</v>
      </c>
      <c r="N239" s="5">
        <v>10</v>
      </c>
      <c r="O239" s="5" t="s">
        <v>21</v>
      </c>
      <c r="P239" s="5">
        <v>19.190000000000001</v>
      </c>
    </row>
    <row r="240" spans="1:16" x14ac:dyDescent="0.5">
      <c r="A240" s="5" t="s">
        <v>536</v>
      </c>
      <c r="B240" s="8">
        <v>45437</v>
      </c>
      <c r="C240" s="6">
        <v>0.5</v>
      </c>
      <c r="D240" s="5" t="s">
        <v>839</v>
      </c>
      <c r="E240" s="5" t="s">
        <v>49</v>
      </c>
      <c r="F240" s="5" t="s">
        <v>39</v>
      </c>
      <c r="G240" s="5">
        <v>29</v>
      </c>
      <c r="H240" s="5">
        <v>1.8</v>
      </c>
      <c r="I240" s="5">
        <v>30</v>
      </c>
      <c r="J240" s="5">
        <v>486.85</v>
      </c>
      <c r="K240" s="5">
        <v>0</v>
      </c>
      <c r="L240" s="5" t="s">
        <v>837</v>
      </c>
      <c r="M240" s="5" t="s">
        <v>28</v>
      </c>
      <c r="N240" s="5">
        <v>8</v>
      </c>
      <c r="O240" s="5" t="s">
        <v>836</v>
      </c>
      <c r="P240" s="5">
        <v>47.9</v>
      </c>
    </row>
    <row r="241" spans="1:16" x14ac:dyDescent="0.5">
      <c r="A241" s="5" t="s">
        <v>537</v>
      </c>
      <c r="B241" s="8">
        <v>45375</v>
      </c>
      <c r="C241" s="6">
        <v>0.5</v>
      </c>
      <c r="D241" s="5" t="s">
        <v>31</v>
      </c>
      <c r="E241" s="5" t="s">
        <v>838</v>
      </c>
      <c r="F241" s="5" t="s">
        <v>78</v>
      </c>
      <c r="G241" s="5">
        <v>18</v>
      </c>
      <c r="H241" s="5">
        <v>4</v>
      </c>
      <c r="I241" s="5">
        <v>44</v>
      </c>
      <c r="J241" s="5">
        <v>448.63</v>
      </c>
      <c r="K241" s="5">
        <v>0.5</v>
      </c>
      <c r="L241" s="5" t="s">
        <v>834</v>
      </c>
      <c r="M241" s="5" t="s">
        <v>59</v>
      </c>
      <c r="N241" s="5">
        <v>5</v>
      </c>
      <c r="O241" s="5" t="s">
        <v>43</v>
      </c>
      <c r="P241" s="5">
        <v>90.73</v>
      </c>
    </row>
    <row r="242" spans="1:16" x14ac:dyDescent="0.5">
      <c r="A242" s="5" t="s">
        <v>538</v>
      </c>
      <c r="B242" s="8">
        <v>45479</v>
      </c>
      <c r="C242" s="6">
        <v>0.14374999999999999</v>
      </c>
      <c r="D242" s="5" t="s">
        <v>70</v>
      </c>
      <c r="E242" s="5" t="s">
        <v>146</v>
      </c>
      <c r="F242" s="5" t="s">
        <v>539</v>
      </c>
      <c r="G242" s="5">
        <v>58</v>
      </c>
      <c r="H242" s="5">
        <v>4.2</v>
      </c>
      <c r="I242" s="5">
        <v>79</v>
      </c>
      <c r="J242" s="5">
        <v>1007.32</v>
      </c>
      <c r="K242" s="5">
        <v>0.6</v>
      </c>
      <c r="L242" s="5" t="s">
        <v>73</v>
      </c>
      <c r="M242" s="5" t="s">
        <v>28</v>
      </c>
      <c r="N242" s="5">
        <v>0</v>
      </c>
      <c r="O242" s="5" t="s">
        <v>836</v>
      </c>
      <c r="P242" s="5">
        <v>188.24</v>
      </c>
    </row>
    <row r="243" spans="1:16" x14ac:dyDescent="0.5">
      <c r="A243" s="5" t="s">
        <v>540</v>
      </c>
      <c r="B243" s="8">
        <v>45364</v>
      </c>
      <c r="C243" s="6">
        <v>0.5</v>
      </c>
      <c r="D243" s="5" t="s">
        <v>81</v>
      </c>
      <c r="E243" s="5" t="s">
        <v>38</v>
      </c>
      <c r="F243" s="5" t="s">
        <v>39</v>
      </c>
      <c r="G243" s="5">
        <v>0</v>
      </c>
      <c r="H243" s="5">
        <v>3.5</v>
      </c>
      <c r="I243" s="5">
        <v>60</v>
      </c>
      <c r="J243" s="5">
        <v>1861.93</v>
      </c>
      <c r="K243" s="5">
        <v>0.15</v>
      </c>
      <c r="L243" s="5" t="s">
        <v>834</v>
      </c>
      <c r="M243" s="5" t="s">
        <v>28</v>
      </c>
      <c r="N243" s="5">
        <v>10</v>
      </c>
      <c r="O243" s="5" t="s">
        <v>35</v>
      </c>
      <c r="P243" s="5">
        <v>227.65</v>
      </c>
    </row>
    <row r="244" spans="1:16" x14ac:dyDescent="0.5">
      <c r="A244" s="5" t="s">
        <v>543</v>
      </c>
      <c r="B244" s="8">
        <v>45465</v>
      </c>
      <c r="C244" s="6">
        <v>0.5</v>
      </c>
      <c r="D244" s="5" t="s">
        <v>70</v>
      </c>
      <c r="E244" s="5" t="s">
        <v>24</v>
      </c>
      <c r="F244" s="5" t="s">
        <v>25</v>
      </c>
      <c r="G244" s="5">
        <v>64</v>
      </c>
      <c r="H244" s="5">
        <v>4.3</v>
      </c>
      <c r="I244" s="5">
        <v>57</v>
      </c>
      <c r="J244" s="5">
        <v>1408.67</v>
      </c>
      <c r="K244" s="5">
        <v>75</v>
      </c>
      <c r="L244" s="5" t="s">
        <v>73</v>
      </c>
      <c r="M244" s="5" t="s">
        <v>28</v>
      </c>
      <c r="N244" s="5">
        <v>5</v>
      </c>
      <c r="O244" s="5" t="s">
        <v>840</v>
      </c>
      <c r="P244" s="5">
        <v>201.26</v>
      </c>
    </row>
    <row r="245" spans="1:16" x14ac:dyDescent="0.5">
      <c r="A245" s="5" t="s">
        <v>544</v>
      </c>
      <c r="B245" s="8">
        <v>45380</v>
      </c>
      <c r="C245" s="6">
        <v>0.5</v>
      </c>
      <c r="D245" s="5" t="s">
        <v>37</v>
      </c>
      <c r="E245" s="5" t="s">
        <v>17</v>
      </c>
      <c r="F245" s="5" t="s">
        <v>78</v>
      </c>
      <c r="G245" s="5">
        <v>53</v>
      </c>
      <c r="H245" s="5">
        <v>5</v>
      </c>
      <c r="I245" s="5">
        <v>31</v>
      </c>
      <c r="J245" s="5">
        <v>1020.66</v>
      </c>
      <c r="K245" s="5">
        <v>0.5</v>
      </c>
      <c r="L245" s="5" t="s">
        <v>68</v>
      </c>
      <c r="M245" s="5" t="s">
        <v>42</v>
      </c>
      <c r="N245" s="5">
        <v>9</v>
      </c>
      <c r="O245" s="5" t="s">
        <v>43</v>
      </c>
      <c r="P245" s="5">
        <v>217.15</v>
      </c>
    </row>
    <row r="246" spans="1:16" x14ac:dyDescent="0.5">
      <c r="A246" s="5" t="s">
        <v>545</v>
      </c>
      <c r="B246" s="8">
        <v>45462</v>
      </c>
      <c r="C246" s="6">
        <v>0.4</v>
      </c>
      <c r="D246" s="5" t="s">
        <v>839</v>
      </c>
      <c r="E246" s="5" t="s">
        <v>24</v>
      </c>
      <c r="F246" s="5" t="s">
        <v>546</v>
      </c>
      <c r="G246" s="5">
        <v>59</v>
      </c>
      <c r="H246" s="5">
        <v>4.5999999999999996</v>
      </c>
      <c r="I246" s="5">
        <v>68</v>
      </c>
      <c r="J246" s="5">
        <v>2438.71</v>
      </c>
      <c r="K246" s="5">
        <v>120</v>
      </c>
      <c r="L246" s="5" t="s">
        <v>68</v>
      </c>
      <c r="M246" s="5" t="s">
        <v>28</v>
      </c>
      <c r="N246" s="5">
        <v>0</v>
      </c>
      <c r="O246" s="5" t="s">
        <v>51</v>
      </c>
      <c r="P246" s="5">
        <v>75.73</v>
      </c>
    </row>
    <row r="247" spans="1:16" x14ac:dyDescent="0.5">
      <c r="A247" s="5" t="s">
        <v>549</v>
      </c>
      <c r="B247" s="8">
        <v>45475</v>
      </c>
      <c r="C247" s="6">
        <v>0.5</v>
      </c>
      <c r="D247" s="5" t="s">
        <v>164</v>
      </c>
      <c r="E247" s="5" t="s">
        <v>24</v>
      </c>
      <c r="F247" s="5" t="s">
        <v>55</v>
      </c>
      <c r="G247" s="5">
        <v>50</v>
      </c>
      <c r="H247" s="5">
        <v>2.8</v>
      </c>
      <c r="I247" s="5">
        <v>28</v>
      </c>
      <c r="J247" s="5">
        <v>467.44</v>
      </c>
      <c r="K247" s="5">
        <v>0</v>
      </c>
      <c r="L247" s="5" t="s">
        <v>27</v>
      </c>
      <c r="M247" s="5" t="s">
        <v>42</v>
      </c>
      <c r="N247" s="5">
        <v>2</v>
      </c>
      <c r="O247" s="5" t="s">
        <v>43</v>
      </c>
      <c r="P247" s="5">
        <v>0.76</v>
      </c>
    </row>
    <row r="248" spans="1:16" x14ac:dyDescent="0.5">
      <c r="A248" s="5" t="s">
        <v>552</v>
      </c>
      <c r="B248" s="8">
        <v>45380</v>
      </c>
      <c r="C248" s="6">
        <v>0.5</v>
      </c>
      <c r="D248" s="5" t="s">
        <v>37</v>
      </c>
      <c r="E248" s="5" t="s">
        <v>49</v>
      </c>
      <c r="F248" s="5" t="s">
        <v>838</v>
      </c>
      <c r="G248" s="5">
        <v>39</v>
      </c>
      <c r="H248" s="5">
        <v>1.8</v>
      </c>
      <c r="I248" s="5">
        <v>53</v>
      </c>
      <c r="J248" s="5">
        <v>1971.67</v>
      </c>
      <c r="K248" s="5">
        <v>75</v>
      </c>
      <c r="L248" s="5" t="s">
        <v>837</v>
      </c>
      <c r="M248" s="5" t="s">
        <v>28</v>
      </c>
      <c r="N248" s="5">
        <v>1</v>
      </c>
      <c r="O248" s="5" t="s">
        <v>43</v>
      </c>
      <c r="P248" s="5">
        <v>87.45</v>
      </c>
    </row>
    <row r="249" spans="1:16" x14ac:dyDescent="0.5">
      <c r="A249" s="5" t="s">
        <v>553</v>
      </c>
      <c r="B249" s="8">
        <v>45429</v>
      </c>
      <c r="C249" s="6">
        <v>0.5</v>
      </c>
      <c r="D249" s="5" t="s">
        <v>46</v>
      </c>
      <c r="E249" s="5" t="s">
        <v>49</v>
      </c>
      <c r="F249" s="5" t="s">
        <v>67</v>
      </c>
      <c r="G249" s="5">
        <v>65</v>
      </c>
      <c r="H249" s="5">
        <v>4.3</v>
      </c>
      <c r="I249" s="5">
        <v>72</v>
      </c>
      <c r="J249" s="5">
        <v>435.47</v>
      </c>
      <c r="K249" s="5">
        <v>0.15</v>
      </c>
      <c r="L249" s="5" t="s">
        <v>103</v>
      </c>
      <c r="M249" s="5" t="s">
        <v>28</v>
      </c>
      <c r="N249" s="5">
        <v>2</v>
      </c>
      <c r="O249" s="5" t="s">
        <v>43</v>
      </c>
      <c r="P249" s="5">
        <v>98.98</v>
      </c>
    </row>
    <row r="250" spans="1:16" x14ac:dyDescent="0.5">
      <c r="A250" s="5" t="s">
        <v>555</v>
      </c>
      <c r="B250" s="8">
        <v>45440</v>
      </c>
      <c r="C250" s="6">
        <v>0.5</v>
      </c>
      <c r="D250" s="5" t="s">
        <v>866</v>
      </c>
      <c r="E250" s="5" t="s">
        <v>146</v>
      </c>
      <c r="F250" s="5" t="s">
        <v>55</v>
      </c>
      <c r="G250" s="5">
        <v>50</v>
      </c>
      <c r="H250" s="5">
        <v>3.6</v>
      </c>
      <c r="I250" s="5">
        <v>46</v>
      </c>
      <c r="J250" s="5">
        <v>931.92</v>
      </c>
      <c r="K250" s="5">
        <v>150</v>
      </c>
      <c r="L250" s="5" t="s">
        <v>837</v>
      </c>
      <c r="M250" s="5" t="s">
        <v>28</v>
      </c>
      <c r="N250" s="5">
        <v>3</v>
      </c>
      <c r="O250" s="5" t="s">
        <v>35</v>
      </c>
      <c r="P250" s="5">
        <v>20.53</v>
      </c>
    </row>
    <row r="251" spans="1:16" x14ac:dyDescent="0.5">
      <c r="A251" s="5" t="s">
        <v>556</v>
      </c>
      <c r="B251" s="8">
        <v>45429</v>
      </c>
      <c r="C251" s="6">
        <v>0.5</v>
      </c>
      <c r="D251" s="5" t="s">
        <v>866</v>
      </c>
      <c r="E251" s="5" t="s">
        <v>88</v>
      </c>
      <c r="F251" s="5" t="s">
        <v>25</v>
      </c>
      <c r="G251" s="5">
        <v>28</v>
      </c>
      <c r="H251" s="5">
        <v>3.4</v>
      </c>
      <c r="I251" s="5">
        <v>48</v>
      </c>
      <c r="J251" s="5">
        <v>2455.15</v>
      </c>
      <c r="K251" s="5">
        <v>150</v>
      </c>
      <c r="L251" s="5" t="s">
        <v>73</v>
      </c>
      <c r="M251" s="5" t="s">
        <v>59</v>
      </c>
      <c r="N251" s="5">
        <v>6</v>
      </c>
      <c r="O251" s="5" t="s">
        <v>43</v>
      </c>
      <c r="P251" s="5">
        <v>0</v>
      </c>
    </row>
    <row r="252" spans="1:16" x14ac:dyDescent="0.5">
      <c r="A252" s="5" t="s">
        <v>557</v>
      </c>
      <c r="B252" s="8">
        <v>45396</v>
      </c>
      <c r="C252" s="6">
        <v>0.50277777777777777</v>
      </c>
      <c r="D252" s="5" t="s">
        <v>244</v>
      </c>
      <c r="E252" s="5" t="s">
        <v>58</v>
      </c>
      <c r="F252" s="5" t="s">
        <v>838</v>
      </c>
      <c r="G252" s="5">
        <v>42</v>
      </c>
      <c r="H252" s="5">
        <v>3.2</v>
      </c>
      <c r="I252" s="5">
        <v>28</v>
      </c>
      <c r="J252" s="5">
        <v>1589.78</v>
      </c>
      <c r="K252" s="5">
        <v>0.1</v>
      </c>
      <c r="L252" s="5" t="s">
        <v>68</v>
      </c>
      <c r="M252" s="5" t="s">
        <v>28</v>
      </c>
      <c r="N252" s="5">
        <v>7</v>
      </c>
      <c r="O252" s="5" t="s">
        <v>836</v>
      </c>
      <c r="P252" s="5">
        <v>2.4500000000000002</v>
      </c>
    </row>
    <row r="253" spans="1:16" x14ac:dyDescent="0.5">
      <c r="A253" s="5" t="s">
        <v>560</v>
      </c>
      <c r="B253" s="8">
        <v>45483</v>
      </c>
      <c r="C253" s="6">
        <v>0.5</v>
      </c>
      <c r="D253" s="5" t="s">
        <v>112</v>
      </c>
      <c r="E253" s="5" t="s">
        <v>88</v>
      </c>
      <c r="F253" s="5" t="s">
        <v>475</v>
      </c>
      <c r="G253" s="5">
        <v>38</v>
      </c>
      <c r="H253" s="5">
        <v>3</v>
      </c>
      <c r="I253" s="5">
        <v>23</v>
      </c>
      <c r="J253" s="5">
        <v>1867.95</v>
      </c>
      <c r="K253" s="5">
        <v>0</v>
      </c>
      <c r="L253" s="5" t="s">
        <v>103</v>
      </c>
      <c r="M253" s="5" t="s">
        <v>28</v>
      </c>
      <c r="N253" s="5">
        <v>2</v>
      </c>
      <c r="O253" s="5" t="s">
        <v>836</v>
      </c>
      <c r="P253" s="5">
        <v>68.930000000000007</v>
      </c>
    </row>
    <row r="254" spans="1:16" x14ac:dyDescent="0.5">
      <c r="A254" s="5" t="s">
        <v>561</v>
      </c>
      <c r="B254" s="8">
        <v>45310</v>
      </c>
      <c r="C254" s="6">
        <v>0.25833333333333336</v>
      </c>
      <c r="D254" s="5" t="s">
        <v>839</v>
      </c>
      <c r="E254" s="5" t="s">
        <v>17</v>
      </c>
      <c r="F254" s="5" t="s">
        <v>838</v>
      </c>
      <c r="G254" s="5">
        <v>45</v>
      </c>
      <c r="H254" s="5">
        <v>4.4000000000000004</v>
      </c>
      <c r="I254" s="5">
        <v>56</v>
      </c>
      <c r="J254" s="5">
        <v>1387.03</v>
      </c>
      <c r="K254" s="5">
        <v>0.6</v>
      </c>
      <c r="L254" s="5" t="s">
        <v>73</v>
      </c>
      <c r="M254" s="5" t="s">
        <v>42</v>
      </c>
      <c r="N254" s="5">
        <v>1</v>
      </c>
      <c r="O254" s="5" t="s">
        <v>51</v>
      </c>
      <c r="P254" s="5">
        <v>177.22</v>
      </c>
    </row>
    <row r="255" spans="1:16" x14ac:dyDescent="0.5">
      <c r="A255" s="5" t="s">
        <v>562</v>
      </c>
      <c r="B255" s="8">
        <v>45372</v>
      </c>
      <c r="C255" s="6">
        <v>0.32708333333333334</v>
      </c>
      <c r="D255" s="5" t="s">
        <v>66</v>
      </c>
      <c r="E255" s="5" t="s">
        <v>58</v>
      </c>
      <c r="F255" s="5" t="s">
        <v>67</v>
      </c>
      <c r="G255" s="5">
        <v>65</v>
      </c>
      <c r="H255" s="5">
        <v>1.2</v>
      </c>
      <c r="I255" s="5">
        <v>40</v>
      </c>
      <c r="J255" s="5">
        <v>609.4</v>
      </c>
      <c r="K255" s="5">
        <v>0</v>
      </c>
      <c r="L255" s="5" t="s">
        <v>68</v>
      </c>
      <c r="M255" s="5" t="s">
        <v>42</v>
      </c>
      <c r="N255" s="5">
        <v>10</v>
      </c>
      <c r="O255" s="5" t="s">
        <v>83</v>
      </c>
      <c r="P255" s="5">
        <v>-16.98</v>
      </c>
    </row>
    <row r="256" spans="1:16" x14ac:dyDescent="0.5">
      <c r="A256" s="5" t="s">
        <v>564</v>
      </c>
      <c r="B256" s="8">
        <v>45357</v>
      </c>
      <c r="C256" s="6">
        <v>0.5</v>
      </c>
      <c r="D256" s="5" t="s">
        <v>843</v>
      </c>
      <c r="E256" s="5" t="s">
        <v>71</v>
      </c>
      <c r="F256" s="5" t="s">
        <v>61</v>
      </c>
      <c r="G256" s="5">
        <v>59</v>
      </c>
      <c r="H256" s="5">
        <v>5</v>
      </c>
      <c r="I256" s="5">
        <v>56</v>
      </c>
      <c r="J256" s="5">
        <v>2048.1999999999998</v>
      </c>
      <c r="K256" s="5">
        <v>0</v>
      </c>
      <c r="L256" s="5" t="s">
        <v>73</v>
      </c>
      <c r="M256" s="5" t="s">
        <v>42</v>
      </c>
      <c r="N256" s="5">
        <v>8</v>
      </c>
      <c r="O256" s="5" t="s">
        <v>21</v>
      </c>
      <c r="P256" s="5">
        <v>205.89</v>
      </c>
    </row>
    <row r="257" spans="1:16" x14ac:dyDescent="0.5">
      <c r="A257" s="5" t="s">
        <v>566</v>
      </c>
      <c r="B257" s="8">
        <v>45332</v>
      </c>
      <c r="C257" s="6">
        <v>0.5</v>
      </c>
      <c r="D257" s="5" t="s">
        <v>37</v>
      </c>
      <c r="E257" s="5" t="s">
        <v>93</v>
      </c>
      <c r="F257" s="5" t="s">
        <v>25</v>
      </c>
      <c r="G257" s="5">
        <v>38</v>
      </c>
      <c r="H257" s="5">
        <v>0</v>
      </c>
      <c r="I257" s="5">
        <v>0</v>
      </c>
      <c r="J257" s="5">
        <v>187.82</v>
      </c>
      <c r="K257" s="5">
        <v>50</v>
      </c>
      <c r="L257" s="5" t="s">
        <v>837</v>
      </c>
      <c r="M257" s="5" t="s">
        <v>28</v>
      </c>
      <c r="N257" s="5">
        <v>4</v>
      </c>
      <c r="O257" s="5" t="s">
        <v>21</v>
      </c>
      <c r="P257" s="5">
        <v>239.68</v>
      </c>
    </row>
    <row r="258" spans="1:16" x14ac:dyDescent="0.5">
      <c r="A258" s="5" t="s">
        <v>567</v>
      </c>
      <c r="B258" s="8">
        <v>45404</v>
      </c>
      <c r="C258" s="6">
        <v>0.5</v>
      </c>
      <c r="D258" s="5" t="s">
        <v>843</v>
      </c>
      <c r="E258" s="5" t="s">
        <v>24</v>
      </c>
      <c r="F258" s="5" t="s">
        <v>18</v>
      </c>
      <c r="G258" s="5">
        <v>65</v>
      </c>
      <c r="H258" s="5">
        <v>3.3</v>
      </c>
      <c r="I258" s="5">
        <v>47</v>
      </c>
      <c r="J258" s="5">
        <v>428.94</v>
      </c>
      <c r="K258" s="5">
        <v>0.1</v>
      </c>
      <c r="L258" s="5" t="s">
        <v>27</v>
      </c>
      <c r="M258" s="5" t="s">
        <v>28</v>
      </c>
      <c r="N258" s="5">
        <v>5</v>
      </c>
      <c r="O258" s="5" t="s">
        <v>83</v>
      </c>
      <c r="P258" s="5">
        <v>114.96</v>
      </c>
    </row>
    <row r="259" spans="1:16" x14ac:dyDescent="0.5">
      <c r="A259" s="5" t="s">
        <v>568</v>
      </c>
      <c r="B259" s="8">
        <v>45353</v>
      </c>
      <c r="C259" s="6">
        <v>0.5</v>
      </c>
      <c r="D259" s="5" t="s">
        <v>112</v>
      </c>
      <c r="E259" s="5" t="s">
        <v>71</v>
      </c>
      <c r="F259" s="5" t="s">
        <v>569</v>
      </c>
      <c r="G259" s="5">
        <v>38</v>
      </c>
      <c r="H259" s="5">
        <v>0</v>
      </c>
      <c r="I259" s="5">
        <v>59</v>
      </c>
      <c r="J259" s="5">
        <v>566.84</v>
      </c>
      <c r="K259" s="5">
        <v>100</v>
      </c>
      <c r="L259" s="5" t="s">
        <v>837</v>
      </c>
      <c r="M259" s="5" t="s">
        <v>28</v>
      </c>
      <c r="N259" s="5">
        <v>6</v>
      </c>
      <c r="O259" s="5" t="s">
        <v>83</v>
      </c>
      <c r="P259" s="5">
        <v>32.520000000000003</v>
      </c>
    </row>
    <row r="260" spans="1:16" x14ac:dyDescent="0.5">
      <c r="A260" s="5" t="s">
        <v>570</v>
      </c>
      <c r="B260" s="8">
        <v>45316</v>
      </c>
      <c r="C260" s="6">
        <v>0.5</v>
      </c>
      <c r="D260" s="5" t="s">
        <v>857</v>
      </c>
      <c r="E260" s="5" t="s">
        <v>88</v>
      </c>
      <c r="F260" s="5" t="s">
        <v>97</v>
      </c>
      <c r="G260" s="5">
        <v>46</v>
      </c>
      <c r="H260" s="5">
        <v>4.9000000000000004</v>
      </c>
      <c r="I260" s="5">
        <v>70</v>
      </c>
      <c r="J260" s="5">
        <v>2432.6</v>
      </c>
      <c r="K260" s="5">
        <v>120</v>
      </c>
      <c r="L260" s="5" t="s">
        <v>68</v>
      </c>
      <c r="M260" s="5" t="s">
        <v>42</v>
      </c>
      <c r="N260" s="5">
        <v>3</v>
      </c>
      <c r="O260" s="5" t="s">
        <v>51</v>
      </c>
      <c r="P260" s="5">
        <v>184.09</v>
      </c>
    </row>
    <row r="261" spans="1:16" x14ac:dyDescent="0.5">
      <c r="A261" s="5" t="s">
        <v>574</v>
      </c>
      <c r="B261" s="8">
        <v>45567</v>
      </c>
      <c r="C261" s="6">
        <v>0.5</v>
      </c>
      <c r="D261" s="5" t="s">
        <v>122</v>
      </c>
      <c r="E261" s="5" t="s">
        <v>54</v>
      </c>
      <c r="F261" s="5" t="s">
        <v>78</v>
      </c>
      <c r="G261" s="5">
        <v>38</v>
      </c>
      <c r="H261" s="5">
        <v>0</v>
      </c>
      <c r="I261" s="5">
        <v>34</v>
      </c>
      <c r="J261" s="5">
        <v>1367.69</v>
      </c>
      <c r="K261" s="5">
        <v>50</v>
      </c>
      <c r="L261" s="5" t="s">
        <v>27</v>
      </c>
      <c r="M261" s="5" t="s">
        <v>28</v>
      </c>
      <c r="N261" s="5">
        <v>6</v>
      </c>
      <c r="O261" s="5" t="s">
        <v>83</v>
      </c>
      <c r="P261" s="5">
        <v>196.53</v>
      </c>
    </row>
    <row r="262" spans="1:16" x14ac:dyDescent="0.5">
      <c r="A262" s="5" t="s">
        <v>577</v>
      </c>
      <c r="B262" s="8">
        <v>45335</v>
      </c>
      <c r="C262" s="6">
        <v>0.19236111111111112</v>
      </c>
      <c r="D262" s="5" t="s">
        <v>66</v>
      </c>
      <c r="E262" s="5" t="s">
        <v>146</v>
      </c>
      <c r="F262" s="5" t="s">
        <v>67</v>
      </c>
      <c r="G262" s="5">
        <v>35</v>
      </c>
      <c r="H262" s="5">
        <v>3.9</v>
      </c>
      <c r="I262" s="5">
        <v>80</v>
      </c>
      <c r="J262" s="5">
        <v>902.61</v>
      </c>
      <c r="K262" s="5">
        <v>0.2</v>
      </c>
      <c r="L262" s="5" t="s">
        <v>840</v>
      </c>
      <c r="M262" s="5" t="s">
        <v>28</v>
      </c>
      <c r="N262" s="5">
        <v>5</v>
      </c>
      <c r="O262" s="5" t="s">
        <v>21</v>
      </c>
      <c r="P262" s="5">
        <v>80.989999999999995</v>
      </c>
    </row>
    <row r="263" spans="1:16" x14ac:dyDescent="0.5">
      <c r="A263" s="5" t="s">
        <v>578</v>
      </c>
      <c r="B263" s="8">
        <v>45462</v>
      </c>
      <c r="C263" s="6">
        <v>0.5</v>
      </c>
      <c r="D263" s="5" t="s">
        <v>866</v>
      </c>
      <c r="E263" s="5" t="s">
        <v>93</v>
      </c>
      <c r="F263" s="5" t="s">
        <v>78</v>
      </c>
      <c r="G263" s="5">
        <v>46</v>
      </c>
      <c r="H263" s="5">
        <v>3.3</v>
      </c>
      <c r="I263" s="5">
        <v>66</v>
      </c>
      <c r="J263" s="5">
        <v>2055.3200000000002</v>
      </c>
      <c r="K263" s="5">
        <v>150</v>
      </c>
      <c r="L263" s="5" t="s">
        <v>834</v>
      </c>
      <c r="M263" s="5" t="s">
        <v>59</v>
      </c>
      <c r="N263" s="5">
        <v>8</v>
      </c>
      <c r="O263" s="5" t="s">
        <v>83</v>
      </c>
      <c r="P263" s="5">
        <v>36.28</v>
      </c>
    </row>
    <row r="264" spans="1:16" x14ac:dyDescent="0.5">
      <c r="A264" s="5" t="s">
        <v>579</v>
      </c>
      <c r="B264" s="8">
        <v>45375</v>
      </c>
      <c r="C264" s="6">
        <v>0.15138888888888888</v>
      </c>
      <c r="D264" s="5" t="s">
        <v>112</v>
      </c>
      <c r="E264" s="5" t="s">
        <v>88</v>
      </c>
      <c r="F264" s="5" t="s">
        <v>33</v>
      </c>
      <c r="G264" s="5">
        <v>65</v>
      </c>
      <c r="H264" s="5">
        <v>4.9000000000000004</v>
      </c>
      <c r="I264" s="5">
        <v>54</v>
      </c>
      <c r="J264" s="5">
        <v>361.09</v>
      </c>
      <c r="K264" s="5">
        <v>75</v>
      </c>
      <c r="L264" s="5" t="s">
        <v>103</v>
      </c>
      <c r="M264" s="5" t="s">
        <v>59</v>
      </c>
      <c r="N264" s="5">
        <v>8</v>
      </c>
      <c r="O264" s="5" t="s">
        <v>83</v>
      </c>
      <c r="P264" s="5">
        <v>26.51</v>
      </c>
    </row>
    <row r="265" spans="1:16" x14ac:dyDescent="0.5">
      <c r="A265" s="5" t="s">
        <v>582</v>
      </c>
      <c r="B265" s="8">
        <v>45448</v>
      </c>
      <c r="C265" s="6">
        <v>0.5</v>
      </c>
      <c r="D265" s="5" t="s">
        <v>70</v>
      </c>
      <c r="E265" s="5" t="s">
        <v>88</v>
      </c>
      <c r="F265" s="5" t="s">
        <v>55</v>
      </c>
      <c r="G265" s="5">
        <v>34</v>
      </c>
      <c r="H265" s="5">
        <v>2.5</v>
      </c>
      <c r="I265" s="5">
        <v>45</v>
      </c>
      <c r="J265" s="5">
        <v>881.97</v>
      </c>
      <c r="K265" s="5">
        <v>50</v>
      </c>
      <c r="L265" s="5" t="s">
        <v>73</v>
      </c>
      <c r="M265" s="5" t="s">
        <v>28</v>
      </c>
      <c r="N265" s="5">
        <v>9</v>
      </c>
      <c r="O265" s="5" t="s">
        <v>836</v>
      </c>
      <c r="P265" s="5">
        <v>186.39</v>
      </c>
    </row>
    <row r="266" spans="1:16" x14ac:dyDescent="0.5">
      <c r="A266" s="5" t="s">
        <v>583</v>
      </c>
      <c r="B266" s="8">
        <v>45457</v>
      </c>
      <c r="C266" s="6">
        <v>0.5</v>
      </c>
      <c r="D266" s="5" t="s">
        <v>66</v>
      </c>
      <c r="E266" s="5" t="s">
        <v>24</v>
      </c>
      <c r="F266" s="5" t="s">
        <v>838</v>
      </c>
      <c r="G266" s="5">
        <v>59</v>
      </c>
      <c r="H266" s="5">
        <v>0</v>
      </c>
      <c r="I266" s="5">
        <v>33</v>
      </c>
      <c r="J266" s="5">
        <v>271.79000000000002</v>
      </c>
      <c r="K266" s="5">
        <v>75</v>
      </c>
      <c r="L266" s="5" t="s">
        <v>103</v>
      </c>
      <c r="M266" s="5" t="s">
        <v>28</v>
      </c>
      <c r="N266" s="5">
        <v>7</v>
      </c>
      <c r="O266" s="5" t="s">
        <v>35</v>
      </c>
      <c r="P266" s="5">
        <v>150.08000000000001</v>
      </c>
    </row>
    <row r="267" spans="1:16" x14ac:dyDescent="0.5">
      <c r="A267" s="5" t="s">
        <v>584</v>
      </c>
      <c r="B267" s="8">
        <v>45422</v>
      </c>
      <c r="C267" s="6">
        <v>0.5</v>
      </c>
      <c r="D267" s="5" t="s">
        <v>37</v>
      </c>
      <c r="E267" s="5" t="s">
        <v>17</v>
      </c>
      <c r="F267" s="5" t="s">
        <v>97</v>
      </c>
      <c r="G267" s="5">
        <v>33</v>
      </c>
      <c r="H267" s="5">
        <v>4.0999999999999996</v>
      </c>
      <c r="I267" s="5">
        <v>38</v>
      </c>
      <c r="J267" s="5">
        <v>190.18</v>
      </c>
      <c r="K267" s="5">
        <v>75</v>
      </c>
      <c r="L267" s="5" t="s">
        <v>834</v>
      </c>
      <c r="M267" s="5" t="s">
        <v>28</v>
      </c>
      <c r="N267" s="5">
        <v>6</v>
      </c>
      <c r="O267" s="5" t="s">
        <v>35</v>
      </c>
      <c r="P267" s="5">
        <v>153.4</v>
      </c>
    </row>
    <row r="268" spans="1:16" x14ac:dyDescent="0.5">
      <c r="A268" s="5" t="s">
        <v>585</v>
      </c>
      <c r="B268" s="8">
        <v>45394</v>
      </c>
      <c r="C268" s="6">
        <v>0.5</v>
      </c>
      <c r="D268" s="5" t="s">
        <v>112</v>
      </c>
      <c r="E268" s="5" t="s">
        <v>17</v>
      </c>
      <c r="F268" s="5" t="s">
        <v>18</v>
      </c>
      <c r="G268" s="5">
        <v>51</v>
      </c>
      <c r="H268" s="5">
        <v>0</v>
      </c>
      <c r="I268" s="5">
        <v>54</v>
      </c>
      <c r="J268" s="5">
        <v>185.82</v>
      </c>
      <c r="K268" s="5">
        <v>0</v>
      </c>
      <c r="L268" s="5" t="s">
        <v>68</v>
      </c>
      <c r="M268" s="5" t="s">
        <v>42</v>
      </c>
      <c r="N268" s="5">
        <v>3</v>
      </c>
      <c r="O268" s="5" t="s">
        <v>51</v>
      </c>
      <c r="P268" s="5">
        <v>65.430000000000007</v>
      </c>
    </row>
    <row r="269" spans="1:16" x14ac:dyDescent="0.5">
      <c r="A269" s="5" t="s">
        <v>586</v>
      </c>
      <c r="B269" s="8">
        <v>45405</v>
      </c>
      <c r="C269" s="6">
        <v>4.3055555555555555E-2</v>
      </c>
      <c r="D269" s="5" t="s">
        <v>37</v>
      </c>
      <c r="E269" s="5" t="s">
        <v>54</v>
      </c>
      <c r="F269" s="5" t="s">
        <v>33</v>
      </c>
      <c r="G269" s="5">
        <v>39</v>
      </c>
      <c r="H269" s="5">
        <v>4.7</v>
      </c>
      <c r="I269" s="5">
        <v>64</v>
      </c>
      <c r="J269" s="5">
        <v>1986.07</v>
      </c>
      <c r="K269" s="5">
        <v>0</v>
      </c>
      <c r="L269" s="5" t="s">
        <v>73</v>
      </c>
      <c r="M269" s="5" t="s">
        <v>28</v>
      </c>
      <c r="N269" s="5">
        <v>8</v>
      </c>
      <c r="O269" s="5" t="s">
        <v>836</v>
      </c>
      <c r="P269" s="5">
        <v>-47.4</v>
      </c>
    </row>
    <row r="270" spans="1:16" x14ac:dyDescent="0.5">
      <c r="A270" s="5" t="s">
        <v>588</v>
      </c>
      <c r="B270" s="8">
        <v>45467</v>
      </c>
      <c r="C270" s="6">
        <v>0.11666666666666667</v>
      </c>
      <c r="D270" s="5" t="s">
        <v>37</v>
      </c>
      <c r="E270" s="5" t="s">
        <v>58</v>
      </c>
      <c r="F270" s="5" t="s">
        <v>61</v>
      </c>
      <c r="G270" s="5">
        <v>18</v>
      </c>
      <c r="H270" s="5">
        <v>0</v>
      </c>
      <c r="I270" s="5">
        <v>29</v>
      </c>
      <c r="J270" s="5">
        <v>0</v>
      </c>
      <c r="K270" s="5">
        <v>0.2</v>
      </c>
      <c r="L270" s="5" t="s">
        <v>68</v>
      </c>
      <c r="M270" s="5" t="s">
        <v>28</v>
      </c>
      <c r="N270" s="5">
        <v>5</v>
      </c>
      <c r="O270" s="5" t="s">
        <v>43</v>
      </c>
      <c r="P270" s="5">
        <v>217.69</v>
      </c>
    </row>
    <row r="271" spans="1:16" x14ac:dyDescent="0.5">
      <c r="A271" s="5" t="s">
        <v>589</v>
      </c>
      <c r="B271" s="8">
        <v>45361</v>
      </c>
      <c r="C271" s="6">
        <v>8.1944444444444445E-2</v>
      </c>
      <c r="D271" s="5" t="s">
        <v>70</v>
      </c>
      <c r="E271" s="5" t="s">
        <v>24</v>
      </c>
      <c r="F271" s="5" t="s">
        <v>55</v>
      </c>
      <c r="G271" s="5">
        <v>22</v>
      </c>
      <c r="H271" s="5">
        <v>1.5</v>
      </c>
      <c r="I271" s="5">
        <v>77</v>
      </c>
      <c r="J271" s="5">
        <v>278.27</v>
      </c>
      <c r="K271" s="5">
        <v>0.2</v>
      </c>
      <c r="L271" s="5" t="s">
        <v>27</v>
      </c>
      <c r="M271" s="5" t="s">
        <v>59</v>
      </c>
      <c r="N271" s="5">
        <v>2</v>
      </c>
      <c r="O271" s="5" t="s">
        <v>43</v>
      </c>
      <c r="P271" s="5">
        <v>233.57</v>
      </c>
    </row>
    <row r="272" spans="1:16" x14ac:dyDescent="0.5">
      <c r="A272" s="5" t="s">
        <v>590</v>
      </c>
      <c r="B272" s="8">
        <v>45566</v>
      </c>
      <c r="C272" s="6">
        <v>0.5</v>
      </c>
      <c r="D272" s="5" t="s">
        <v>866</v>
      </c>
      <c r="E272" s="5" t="s">
        <v>93</v>
      </c>
      <c r="F272" s="5" t="s">
        <v>33</v>
      </c>
      <c r="G272" s="5">
        <v>30</v>
      </c>
      <c r="H272" s="5">
        <v>3.9</v>
      </c>
      <c r="I272" s="5">
        <v>0</v>
      </c>
      <c r="J272" s="5">
        <v>153.82</v>
      </c>
      <c r="K272" s="5">
        <v>75</v>
      </c>
      <c r="L272" s="5" t="s">
        <v>68</v>
      </c>
      <c r="M272" s="5" t="s">
        <v>28</v>
      </c>
      <c r="N272" s="5">
        <v>4</v>
      </c>
      <c r="O272" s="5" t="s">
        <v>35</v>
      </c>
      <c r="P272" s="5">
        <v>0</v>
      </c>
    </row>
    <row r="273" spans="1:16" x14ac:dyDescent="0.5">
      <c r="A273" s="5" t="s">
        <v>591</v>
      </c>
      <c r="B273" s="8">
        <v>45446</v>
      </c>
      <c r="C273" s="6">
        <v>0.5</v>
      </c>
      <c r="D273" s="5" t="s">
        <v>136</v>
      </c>
      <c r="E273" s="5" t="s">
        <v>71</v>
      </c>
      <c r="F273" s="5" t="s">
        <v>33</v>
      </c>
      <c r="G273" s="5">
        <v>61</v>
      </c>
      <c r="H273" s="5">
        <v>2.5</v>
      </c>
      <c r="I273" s="5">
        <v>64</v>
      </c>
      <c r="J273" s="5">
        <v>1949.5</v>
      </c>
      <c r="K273" s="5">
        <v>0.1</v>
      </c>
      <c r="L273" s="5" t="s">
        <v>103</v>
      </c>
      <c r="M273" s="5" t="s">
        <v>28</v>
      </c>
      <c r="N273" s="5">
        <v>10</v>
      </c>
      <c r="O273" s="5" t="s">
        <v>43</v>
      </c>
      <c r="P273" s="5">
        <v>145.35</v>
      </c>
    </row>
    <row r="274" spans="1:16" x14ac:dyDescent="0.5">
      <c r="A274" s="5" t="s">
        <v>593</v>
      </c>
      <c r="B274" s="8">
        <v>45408</v>
      </c>
      <c r="C274" s="6">
        <v>0.5</v>
      </c>
      <c r="D274" s="5" t="s">
        <v>136</v>
      </c>
      <c r="E274" s="5" t="s">
        <v>49</v>
      </c>
      <c r="F274" s="5" t="s">
        <v>594</v>
      </c>
      <c r="G274" s="5">
        <v>47</v>
      </c>
      <c r="H274" s="5">
        <v>4.5</v>
      </c>
      <c r="I274" s="5">
        <v>66</v>
      </c>
      <c r="J274" s="5">
        <v>417.56</v>
      </c>
      <c r="K274" s="5">
        <v>0.5</v>
      </c>
      <c r="L274" s="5" t="s">
        <v>837</v>
      </c>
      <c r="M274" s="5" t="s">
        <v>28</v>
      </c>
      <c r="N274" s="5">
        <v>3</v>
      </c>
      <c r="O274" s="5" t="s">
        <v>836</v>
      </c>
      <c r="P274" s="5">
        <v>155.15</v>
      </c>
    </row>
    <row r="275" spans="1:16" x14ac:dyDescent="0.5">
      <c r="A275" s="5" t="s">
        <v>599</v>
      </c>
      <c r="B275" s="8">
        <v>45321</v>
      </c>
      <c r="C275" s="6">
        <v>0.5</v>
      </c>
      <c r="D275" s="5" t="s">
        <v>81</v>
      </c>
      <c r="E275" s="5" t="s">
        <v>24</v>
      </c>
      <c r="F275" s="5" t="s">
        <v>61</v>
      </c>
      <c r="G275" s="5">
        <v>49</v>
      </c>
      <c r="H275" s="5">
        <v>3.3</v>
      </c>
      <c r="I275" s="5">
        <v>25</v>
      </c>
      <c r="J275" s="5">
        <v>2229.85</v>
      </c>
      <c r="K275" s="5">
        <v>0.2</v>
      </c>
      <c r="L275" s="5" t="s">
        <v>27</v>
      </c>
      <c r="M275" s="5" t="s">
        <v>42</v>
      </c>
      <c r="N275" s="5">
        <v>2</v>
      </c>
      <c r="O275" s="5" t="s">
        <v>83</v>
      </c>
      <c r="P275" s="5">
        <v>-74.73</v>
      </c>
    </row>
    <row r="276" spans="1:16" x14ac:dyDescent="0.5">
      <c r="A276" s="5" t="s">
        <v>601</v>
      </c>
      <c r="B276" s="8">
        <v>45415</v>
      </c>
      <c r="C276" s="6">
        <v>0.5</v>
      </c>
      <c r="D276" s="5" t="s">
        <v>37</v>
      </c>
      <c r="E276" s="5" t="s">
        <v>49</v>
      </c>
      <c r="F276" s="5" t="s">
        <v>67</v>
      </c>
      <c r="G276" s="5">
        <v>60</v>
      </c>
      <c r="H276" s="5">
        <v>1.3</v>
      </c>
      <c r="I276" s="5">
        <v>31</v>
      </c>
      <c r="J276" s="5">
        <v>2195.46</v>
      </c>
      <c r="K276" s="5">
        <v>0</v>
      </c>
      <c r="L276" s="5" t="s">
        <v>840</v>
      </c>
      <c r="M276" s="5" t="s">
        <v>28</v>
      </c>
      <c r="N276" s="5">
        <v>5</v>
      </c>
      <c r="O276" s="5" t="s">
        <v>836</v>
      </c>
      <c r="P276" s="5">
        <v>89.15</v>
      </c>
    </row>
    <row r="277" spans="1:16" x14ac:dyDescent="0.5">
      <c r="A277" s="5" t="s">
        <v>602</v>
      </c>
      <c r="B277" s="8">
        <v>45325</v>
      </c>
      <c r="C277" s="6">
        <v>0.49236111111111114</v>
      </c>
      <c r="D277" s="5" t="s">
        <v>37</v>
      </c>
      <c r="E277" s="5" t="s">
        <v>93</v>
      </c>
      <c r="F277" s="5" t="s">
        <v>838</v>
      </c>
      <c r="G277" s="5">
        <v>24</v>
      </c>
      <c r="H277" s="5">
        <v>1.7</v>
      </c>
      <c r="I277" s="5">
        <v>51</v>
      </c>
      <c r="J277" s="5">
        <v>2027.47</v>
      </c>
      <c r="K277" s="5">
        <v>0</v>
      </c>
      <c r="L277" s="5" t="s">
        <v>840</v>
      </c>
      <c r="M277" s="5" t="s">
        <v>59</v>
      </c>
      <c r="N277" s="5">
        <v>8</v>
      </c>
      <c r="O277" s="5" t="s">
        <v>836</v>
      </c>
      <c r="P277" s="5">
        <v>-45.08</v>
      </c>
    </row>
    <row r="278" spans="1:16" x14ac:dyDescent="0.5">
      <c r="A278" s="5" t="s">
        <v>603</v>
      </c>
      <c r="B278" s="8">
        <v>45482</v>
      </c>
      <c r="C278" s="6">
        <v>0.5</v>
      </c>
      <c r="D278" s="5" t="s">
        <v>31</v>
      </c>
      <c r="E278" s="5" t="s">
        <v>58</v>
      </c>
      <c r="F278" s="5" t="s">
        <v>18</v>
      </c>
      <c r="G278" s="5">
        <v>63</v>
      </c>
      <c r="H278" s="5">
        <v>2.2000000000000002</v>
      </c>
      <c r="I278" s="5">
        <v>22</v>
      </c>
      <c r="J278" s="5">
        <v>1173.19</v>
      </c>
      <c r="K278" s="5">
        <v>0</v>
      </c>
      <c r="L278" s="5" t="s">
        <v>68</v>
      </c>
      <c r="M278" s="5" t="s">
        <v>42</v>
      </c>
      <c r="N278" s="5">
        <v>3</v>
      </c>
      <c r="O278" s="5" t="s">
        <v>83</v>
      </c>
      <c r="P278" s="5">
        <v>50.24</v>
      </c>
    </row>
    <row r="279" spans="1:16" x14ac:dyDescent="0.5">
      <c r="A279" s="5" t="s">
        <v>605</v>
      </c>
      <c r="B279" s="8">
        <v>45455</v>
      </c>
      <c r="C279" s="6">
        <v>0.5</v>
      </c>
      <c r="D279" s="5" t="s">
        <v>23</v>
      </c>
      <c r="E279" s="5" t="s">
        <v>54</v>
      </c>
      <c r="F279" s="5" t="s">
        <v>67</v>
      </c>
      <c r="G279" s="5">
        <v>23</v>
      </c>
      <c r="H279" s="5">
        <v>4.5999999999999996</v>
      </c>
      <c r="I279" s="5">
        <v>26</v>
      </c>
      <c r="J279" s="5">
        <v>877.79</v>
      </c>
      <c r="K279" s="5">
        <v>150</v>
      </c>
      <c r="L279" s="5" t="s">
        <v>27</v>
      </c>
      <c r="M279" s="5" t="s">
        <v>59</v>
      </c>
      <c r="N279" s="5">
        <v>8</v>
      </c>
      <c r="O279" s="5" t="s">
        <v>83</v>
      </c>
      <c r="P279" s="5">
        <v>249.7</v>
      </c>
    </row>
    <row r="280" spans="1:16" x14ac:dyDescent="0.5">
      <c r="A280" s="5" t="s">
        <v>609</v>
      </c>
      <c r="B280" s="8">
        <v>45296</v>
      </c>
      <c r="C280" s="6">
        <v>0.5</v>
      </c>
      <c r="D280" s="5" t="s">
        <v>122</v>
      </c>
      <c r="E280" s="5" t="s">
        <v>146</v>
      </c>
      <c r="F280" s="5" t="s">
        <v>25</v>
      </c>
      <c r="G280" s="5">
        <v>38</v>
      </c>
      <c r="H280" s="5">
        <v>1.4</v>
      </c>
      <c r="I280" s="5">
        <v>56</v>
      </c>
      <c r="J280" s="5">
        <v>313.51</v>
      </c>
      <c r="K280" s="5">
        <v>150</v>
      </c>
      <c r="L280" s="5" t="s">
        <v>73</v>
      </c>
      <c r="M280" s="5" t="s">
        <v>59</v>
      </c>
      <c r="N280" s="5">
        <v>8</v>
      </c>
      <c r="O280" s="5" t="s">
        <v>35</v>
      </c>
      <c r="P280" s="5">
        <v>37.54</v>
      </c>
    </row>
    <row r="281" spans="1:16" x14ac:dyDescent="0.5">
      <c r="A281" s="5" t="s">
        <v>610</v>
      </c>
      <c r="B281" s="8">
        <v>45373</v>
      </c>
      <c r="C281" s="6">
        <v>0.5</v>
      </c>
      <c r="D281" s="5" t="s">
        <v>122</v>
      </c>
      <c r="E281" s="5" t="s">
        <v>146</v>
      </c>
      <c r="F281" s="5" t="s">
        <v>25</v>
      </c>
      <c r="G281" s="5">
        <v>62</v>
      </c>
      <c r="H281" s="5">
        <v>1</v>
      </c>
      <c r="I281" s="5">
        <v>33</v>
      </c>
      <c r="J281" s="5">
        <v>0</v>
      </c>
      <c r="K281" s="5">
        <v>100</v>
      </c>
      <c r="L281" s="5" t="s">
        <v>834</v>
      </c>
      <c r="M281" s="5" t="s">
        <v>28</v>
      </c>
      <c r="N281" s="5">
        <v>6</v>
      </c>
      <c r="O281" s="5" t="s">
        <v>21</v>
      </c>
      <c r="P281" s="5">
        <v>-14.73</v>
      </c>
    </row>
    <row r="282" spans="1:16" x14ac:dyDescent="0.5">
      <c r="A282" s="5" t="s">
        <v>611</v>
      </c>
      <c r="B282" s="8">
        <v>45374</v>
      </c>
      <c r="C282" s="6">
        <v>0.5</v>
      </c>
      <c r="D282" s="5" t="s">
        <v>839</v>
      </c>
      <c r="E282" s="5" t="s">
        <v>838</v>
      </c>
      <c r="F282" s="5" t="s">
        <v>55</v>
      </c>
      <c r="G282" s="5">
        <v>20</v>
      </c>
      <c r="H282" s="5">
        <v>2.2999999999999998</v>
      </c>
      <c r="I282" s="5">
        <v>20</v>
      </c>
      <c r="J282" s="5">
        <v>2222.16</v>
      </c>
      <c r="K282" s="5">
        <v>50</v>
      </c>
      <c r="L282" s="5" t="s">
        <v>837</v>
      </c>
      <c r="M282" s="5" t="s">
        <v>28</v>
      </c>
      <c r="N282" s="5">
        <v>6</v>
      </c>
      <c r="O282" s="5" t="s">
        <v>83</v>
      </c>
      <c r="P282" s="5">
        <v>167.78</v>
      </c>
    </row>
    <row r="283" spans="1:16" x14ac:dyDescent="0.5">
      <c r="A283" s="5" t="s">
        <v>613</v>
      </c>
      <c r="B283" s="8">
        <v>45456</v>
      </c>
      <c r="C283" s="6">
        <v>6.25E-2</v>
      </c>
      <c r="D283" s="5" t="s">
        <v>37</v>
      </c>
      <c r="E283" s="5" t="s">
        <v>54</v>
      </c>
      <c r="F283" s="5" t="s">
        <v>838</v>
      </c>
      <c r="G283" s="5">
        <v>62</v>
      </c>
      <c r="H283" s="5">
        <v>1.2</v>
      </c>
      <c r="I283" s="5">
        <v>29</v>
      </c>
      <c r="J283" s="5">
        <v>2380.92</v>
      </c>
      <c r="K283" s="5">
        <v>0.2</v>
      </c>
      <c r="L283" s="5" t="s">
        <v>73</v>
      </c>
      <c r="M283" s="5" t="s">
        <v>28</v>
      </c>
      <c r="N283" s="5">
        <v>7</v>
      </c>
      <c r="O283" s="5" t="s">
        <v>51</v>
      </c>
      <c r="P283" s="5">
        <v>-68.12</v>
      </c>
    </row>
    <row r="284" spans="1:16" x14ac:dyDescent="0.5">
      <c r="A284" s="5" t="s">
        <v>615</v>
      </c>
      <c r="B284" s="8">
        <v>45312</v>
      </c>
      <c r="C284" s="6">
        <v>0.5</v>
      </c>
      <c r="D284" s="5" t="s">
        <v>37</v>
      </c>
      <c r="E284" s="5" t="s">
        <v>146</v>
      </c>
      <c r="F284" s="5" t="s">
        <v>33</v>
      </c>
      <c r="G284" s="5">
        <v>34</v>
      </c>
      <c r="H284" s="5">
        <v>3.6</v>
      </c>
      <c r="I284" s="5">
        <v>72</v>
      </c>
      <c r="J284" s="5">
        <v>1556.02</v>
      </c>
      <c r="K284" s="5">
        <v>100</v>
      </c>
      <c r="L284" s="5" t="s">
        <v>68</v>
      </c>
      <c r="M284" s="5" t="s">
        <v>28</v>
      </c>
      <c r="N284" s="5">
        <v>10</v>
      </c>
      <c r="O284" s="5" t="s">
        <v>836</v>
      </c>
      <c r="P284" s="5">
        <v>142.49</v>
      </c>
    </row>
    <row r="285" spans="1:16" x14ac:dyDescent="0.5">
      <c r="A285" s="5" t="s">
        <v>617</v>
      </c>
      <c r="B285" s="8">
        <v>45305</v>
      </c>
      <c r="C285" s="6">
        <v>0.42083333333333334</v>
      </c>
      <c r="D285" s="5" t="s">
        <v>861</v>
      </c>
      <c r="E285" s="5" t="s">
        <v>17</v>
      </c>
      <c r="F285" s="5" t="s">
        <v>67</v>
      </c>
      <c r="G285" s="5">
        <v>56</v>
      </c>
      <c r="H285" s="5">
        <v>4.7</v>
      </c>
      <c r="I285" s="5">
        <v>51</v>
      </c>
      <c r="J285" s="5">
        <v>2012.11</v>
      </c>
      <c r="K285" s="5">
        <v>0</v>
      </c>
      <c r="L285" s="5" t="s">
        <v>103</v>
      </c>
      <c r="M285" s="5" t="s">
        <v>28</v>
      </c>
      <c r="N285" s="5">
        <v>1</v>
      </c>
      <c r="O285" s="5" t="s">
        <v>83</v>
      </c>
      <c r="P285" s="5">
        <v>237.2</v>
      </c>
    </row>
    <row r="286" spans="1:16" x14ac:dyDescent="0.5">
      <c r="A286" s="5" t="s">
        <v>619</v>
      </c>
      <c r="B286" s="8">
        <v>45400</v>
      </c>
      <c r="C286" s="6">
        <v>0.5</v>
      </c>
      <c r="D286" s="5" t="s">
        <v>620</v>
      </c>
      <c r="E286" s="5" t="s">
        <v>93</v>
      </c>
      <c r="F286" s="5" t="s">
        <v>25</v>
      </c>
      <c r="G286" s="5">
        <v>48</v>
      </c>
      <c r="H286" s="5">
        <v>1.5</v>
      </c>
      <c r="I286" s="5">
        <v>73</v>
      </c>
      <c r="J286" s="5">
        <v>2190.1</v>
      </c>
      <c r="K286" s="5">
        <v>75</v>
      </c>
      <c r="L286" s="5" t="s">
        <v>834</v>
      </c>
      <c r="M286" s="5" t="s">
        <v>42</v>
      </c>
      <c r="N286" s="5">
        <v>1</v>
      </c>
      <c r="O286" s="5" t="s">
        <v>43</v>
      </c>
      <c r="P286" s="5">
        <v>0</v>
      </c>
    </row>
    <row r="287" spans="1:16" x14ac:dyDescent="0.5">
      <c r="A287" s="5" t="s">
        <v>621</v>
      </c>
      <c r="B287" s="8">
        <v>45489</v>
      </c>
      <c r="C287" s="6">
        <v>0.39930555555555558</v>
      </c>
      <c r="D287" s="5" t="s">
        <v>407</v>
      </c>
      <c r="E287" s="5" t="s">
        <v>54</v>
      </c>
      <c r="F287" s="5" t="s">
        <v>622</v>
      </c>
      <c r="G287" s="5">
        <v>45</v>
      </c>
      <c r="H287" s="5">
        <v>3.8</v>
      </c>
      <c r="I287" s="5">
        <v>21</v>
      </c>
      <c r="J287" s="5">
        <v>801.91</v>
      </c>
      <c r="K287" s="5">
        <v>0.5</v>
      </c>
      <c r="L287" s="5" t="s">
        <v>103</v>
      </c>
      <c r="M287" s="5" t="s">
        <v>28</v>
      </c>
      <c r="N287" s="5">
        <v>7</v>
      </c>
      <c r="O287" s="5" t="s">
        <v>35</v>
      </c>
      <c r="P287" s="5">
        <v>244.56</v>
      </c>
    </row>
    <row r="288" spans="1:16" x14ac:dyDescent="0.5">
      <c r="A288" s="5" t="s">
        <v>624</v>
      </c>
      <c r="B288" s="8">
        <v>45448</v>
      </c>
      <c r="C288" s="6">
        <v>0.5</v>
      </c>
      <c r="D288" s="5" t="s">
        <v>839</v>
      </c>
      <c r="E288" s="5" t="s">
        <v>49</v>
      </c>
      <c r="F288" s="5" t="s">
        <v>18</v>
      </c>
      <c r="G288" s="5">
        <v>58</v>
      </c>
      <c r="H288" s="5">
        <v>2.4</v>
      </c>
      <c r="I288" s="5">
        <v>35</v>
      </c>
      <c r="J288" s="5">
        <v>2145.61</v>
      </c>
      <c r="K288" s="5">
        <v>50</v>
      </c>
      <c r="L288" s="5" t="s">
        <v>27</v>
      </c>
      <c r="M288" s="5" t="s">
        <v>28</v>
      </c>
      <c r="N288" s="5">
        <v>5</v>
      </c>
      <c r="O288" s="5" t="s">
        <v>51</v>
      </c>
      <c r="P288" s="5">
        <v>-5.16</v>
      </c>
    </row>
    <row r="289" spans="1:16" x14ac:dyDescent="0.5">
      <c r="A289" s="5" t="s">
        <v>626</v>
      </c>
      <c r="B289" s="8">
        <v>45450</v>
      </c>
      <c r="C289" s="6">
        <v>0.5</v>
      </c>
      <c r="D289" s="5" t="s">
        <v>70</v>
      </c>
      <c r="E289" s="5" t="s">
        <v>71</v>
      </c>
      <c r="F289" s="5" t="s">
        <v>67</v>
      </c>
      <c r="G289" s="5">
        <v>50</v>
      </c>
      <c r="H289" s="5">
        <v>3</v>
      </c>
      <c r="I289" s="5">
        <v>54</v>
      </c>
      <c r="J289" s="5">
        <v>695.56</v>
      </c>
      <c r="K289" s="5">
        <v>120</v>
      </c>
      <c r="L289" s="5" t="s">
        <v>27</v>
      </c>
      <c r="M289" s="5" t="s">
        <v>28</v>
      </c>
      <c r="N289" s="5">
        <v>2</v>
      </c>
      <c r="O289" s="5" t="s">
        <v>21</v>
      </c>
      <c r="P289" s="5">
        <v>59.23</v>
      </c>
    </row>
    <row r="290" spans="1:16" x14ac:dyDescent="0.5">
      <c r="A290" s="5" t="s">
        <v>628</v>
      </c>
      <c r="B290" s="8">
        <v>45472</v>
      </c>
      <c r="C290" s="6">
        <v>0.5</v>
      </c>
      <c r="D290" s="5" t="s">
        <v>70</v>
      </c>
      <c r="E290" s="5" t="s">
        <v>17</v>
      </c>
      <c r="F290" s="5" t="s">
        <v>67</v>
      </c>
      <c r="G290" s="5">
        <v>64</v>
      </c>
      <c r="H290" s="5">
        <v>0</v>
      </c>
      <c r="I290" s="5">
        <v>77</v>
      </c>
      <c r="J290" s="5">
        <v>533.92999999999995</v>
      </c>
      <c r="K290" s="5">
        <v>0</v>
      </c>
      <c r="L290" s="5" t="s">
        <v>73</v>
      </c>
      <c r="M290" s="5" t="s">
        <v>28</v>
      </c>
      <c r="N290" s="5">
        <v>0</v>
      </c>
      <c r="O290" s="5" t="s">
        <v>836</v>
      </c>
      <c r="P290" s="5">
        <v>0</v>
      </c>
    </row>
    <row r="291" spans="1:16" x14ac:dyDescent="0.5">
      <c r="A291" s="5" t="s">
        <v>629</v>
      </c>
      <c r="B291" s="8">
        <v>45466</v>
      </c>
      <c r="C291" s="6">
        <v>0.5</v>
      </c>
      <c r="D291" s="5" t="s">
        <v>66</v>
      </c>
      <c r="E291" s="5" t="s">
        <v>49</v>
      </c>
      <c r="F291" s="5" t="s">
        <v>838</v>
      </c>
      <c r="G291" s="5">
        <v>62</v>
      </c>
      <c r="H291" s="5">
        <v>3.8</v>
      </c>
      <c r="I291" s="5">
        <v>62</v>
      </c>
      <c r="J291" s="5">
        <v>1630.9</v>
      </c>
      <c r="K291" s="5">
        <v>75</v>
      </c>
      <c r="L291" s="5" t="s">
        <v>837</v>
      </c>
      <c r="M291" s="5" t="s">
        <v>59</v>
      </c>
      <c r="N291" s="5">
        <v>9</v>
      </c>
      <c r="O291" s="5" t="s">
        <v>35</v>
      </c>
      <c r="P291" s="5">
        <v>-40.07</v>
      </c>
    </row>
    <row r="292" spans="1:16" x14ac:dyDescent="0.5">
      <c r="A292" s="5" t="s">
        <v>631</v>
      </c>
      <c r="B292" s="8">
        <v>45406</v>
      </c>
      <c r="C292" s="6">
        <v>0.5</v>
      </c>
      <c r="D292" s="5" t="s">
        <v>839</v>
      </c>
      <c r="E292" s="5" t="s">
        <v>146</v>
      </c>
      <c r="F292" s="5" t="s">
        <v>33</v>
      </c>
      <c r="G292" s="5">
        <v>50</v>
      </c>
      <c r="H292" s="5">
        <v>1.5</v>
      </c>
      <c r="I292" s="5">
        <v>16</v>
      </c>
      <c r="J292" s="5">
        <v>841.96</v>
      </c>
      <c r="K292" s="5">
        <v>0.15</v>
      </c>
      <c r="L292" s="5" t="s">
        <v>837</v>
      </c>
      <c r="M292" s="5" t="s">
        <v>28</v>
      </c>
      <c r="N292" s="5">
        <v>9</v>
      </c>
      <c r="O292" s="5" t="s">
        <v>21</v>
      </c>
      <c r="P292" s="5">
        <v>88.26</v>
      </c>
    </row>
    <row r="293" spans="1:16" x14ac:dyDescent="0.5">
      <c r="A293" s="5" t="s">
        <v>632</v>
      </c>
      <c r="B293" s="8">
        <v>45310</v>
      </c>
      <c r="C293" s="6">
        <v>0.5</v>
      </c>
      <c r="D293" s="5" t="s">
        <v>112</v>
      </c>
      <c r="E293" s="5" t="s">
        <v>633</v>
      </c>
      <c r="F293" s="5" t="s">
        <v>634</v>
      </c>
      <c r="G293" s="5">
        <v>56</v>
      </c>
      <c r="H293" s="5">
        <v>1.9</v>
      </c>
      <c r="I293" s="5">
        <v>76</v>
      </c>
      <c r="J293" s="5">
        <v>1583.45</v>
      </c>
      <c r="K293" s="5">
        <v>150</v>
      </c>
      <c r="L293" s="5" t="s">
        <v>27</v>
      </c>
      <c r="M293" s="5" t="s">
        <v>28</v>
      </c>
      <c r="N293" s="5">
        <v>3</v>
      </c>
      <c r="O293" s="5" t="s">
        <v>840</v>
      </c>
      <c r="P293" s="5">
        <v>11.54</v>
      </c>
    </row>
    <row r="294" spans="1:16" x14ac:dyDescent="0.5">
      <c r="A294" s="5" t="s">
        <v>636</v>
      </c>
      <c r="B294" s="8">
        <v>45379</v>
      </c>
      <c r="C294" s="6">
        <v>0.5</v>
      </c>
      <c r="D294" s="5" t="s">
        <v>122</v>
      </c>
      <c r="E294" s="5" t="s">
        <v>71</v>
      </c>
      <c r="F294" s="5" t="s">
        <v>18</v>
      </c>
      <c r="G294" s="5">
        <v>48</v>
      </c>
      <c r="H294" s="5">
        <v>3.8</v>
      </c>
      <c r="I294" s="5">
        <v>23</v>
      </c>
      <c r="J294" s="5">
        <v>718.79</v>
      </c>
      <c r="K294" s="5">
        <v>0.2</v>
      </c>
      <c r="L294" s="5" t="s">
        <v>103</v>
      </c>
      <c r="M294" s="5" t="s">
        <v>42</v>
      </c>
      <c r="N294" s="5">
        <v>6</v>
      </c>
      <c r="O294" s="5" t="s">
        <v>51</v>
      </c>
      <c r="P294" s="5">
        <v>117.26</v>
      </c>
    </row>
    <row r="295" spans="1:16" x14ac:dyDescent="0.5">
      <c r="A295" s="5" t="s">
        <v>637</v>
      </c>
      <c r="B295" s="8">
        <v>45327</v>
      </c>
      <c r="C295" s="6">
        <v>0.5</v>
      </c>
      <c r="D295" s="5" t="s">
        <v>112</v>
      </c>
      <c r="E295" s="5" t="s">
        <v>146</v>
      </c>
      <c r="F295" s="5" t="s">
        <v>101</v>
      </c>
      <c r="G295" s="5">
        <v>29</v>
      </c>
      <c r="H295" s="5">
        <v>4.2</v>
      </c>
      <c r="I295" s="5">
        <v>65</v>
      </c>
      <c r="J295" s="5">
        <v>1272.74</v>
      </c>
      <c r="K295" s="5">
        <v>120</v>
      </c>
      <c r="L295" s="5" t="s">
        <v>73</v>
      </c>
      <c r="M295" s="5" t="s">
        <v>28</v>
      </c>
      <c r="N295" s="5">
        <v>0</v>
      </c>
      <c r="O295" s="5" t="s">
        <v>35</v>
      </c>
      <c r="P295" s="5">
        <v>83.37</v>
      </c>
    </row>
    <row r="296" spans="1:16" x14ac:dyDescent="0.5">
      <c r="A296" s="5" t="s">
        <v>638</v>
      </c>
      <c r="B296" s="8">
        <v>45570</v>
      </c>
      <c r="C296" s="6">
        <v>0.5</v>
      </c>
      <c r="D296" s="5" t="s">
        <v>23</v>
      </c>
      <c r="E296" s="5" t="s">
        <v>24</v>
      </c>
      <c r="F296" s="5" t="s">
        <v>97</v>
      </c>
      <c r="G296" s="5">
        <v>35</v>
      </c>
      <c r="H296" s="5">
        <v>3.1</v>
      </c>
      <c r="I296" s="5">
        <v>21</v>
      </c>
      <c r="J296" s="5">
        <v>2323.2800000000002</v>
      </c>
      <c r="K296" s="5">
        <v>0.6</v>
      </c>
      <c r="L296" s="5" t="s">
        <v>840</v>
      </c>
      <c r="M296" s="5" t="s">
        <v>59</v>
      </c>
      <c r="N296" s="5">
        <v>4</v>
      </c>
      <c r="O296" s="5" t="s">
        <v>35</v>
      </c>
      <c r="P296" s="5">
        <v>168.07</v>
      </c>
    </row>
    <row r="297" spans="1:16" x14ac:dyDescent="0.5">
      <c r="A297" s="5" t="s">
        <v>639</v>
      </c>
      <c r="B297" s="8">
        <v>45444</v>
      </c>
      <c r="C297" s="6">
        <v>0.5</v>
      </c>
      <c r="D297" s="5" t="s">
        <v>66</v>
      </c>
      <c r="E297" s="5" t="s">
        <v>17</v>
      </c>
      <c r="F297" s="5" t="s">
        <v>101</v>
      </c>
      <c r="G297" s="5">
        <v>33</v>
      </c>
      <c r="H297" s="5">
        <v>1.7</v>
      </c>
      <c r="I297" s="5">
        <v>29</v>
      </c>
      <c r="J297" s="5">
        <v>0</v>
      </c>
      <c r="K297" s="5">
        <v>100</v>
      </c>
      <c r="L297" s="5" t="s">
        <v>103</v>
      </c>
      <c r="M297" s="5" t="s">
        <v>42</v>
      </c>
      <c r="N297" s="5">
        <v>8</v>
      </c>
      <c r="O297" s="5" t="s">
        <v>35</v>
      </c>
      <c r="P297" s="5">
        <v>122.97</v>
      </c>
    </row>
    <row r="298" spans="1:16" x14ac:dyDescent="0.5">
      <c r="A298" s="5" t="s">
        <v>642</v>
      </c>
      <c r="B298" s="8">
        <v>45358</v>
      </c>
      <c r="C298" s="6">
        <v>0.5</v>
      </c>
      <c r="D298" s="5" t="s">
        <v>66</v>
      </c>
      <c r="E298" s="5" t="s">
        <v>17</v>
      </c>
      <c r="F298" s="5" t="s">
        <v>97</v>
      </c>
      <c r="G298" s="5">
        <v>34</v>
      </c>
      <c r="H298" s="5">
        <v>4.7</v>
      </c>
      <c r="I298" s="5">
        <v>52</v>
      </c>
      <c r="J298" s="5">
        <v>457.09</v>
      </c>
      <c r="K298" s="5">
        <v>50</v>
      </c>
      <c r="L298" s="5" t="s">
        <v>68</v>
      </c>
      <c r="M298" s="5" t="s">
        <v>28</v>
      </c>
      <c r="N298" s="5">
        <v>3</v>
      </c>
      <c r="O298" s="5" t="s">
        <v>83</v>
      </c>
      <c r="P298" s="5">
        <v>215.32</v>
      </c>
    </row>
    <row r="299" spans="1:16" x14ac:dyDescent="0.5">
      <c r="A299" s="5" t="s">
        <v>643</v>
      </c>
      <c r="B299" s="8">
        <v>45474</v>
      </c>
      <c r="C299" s="6">
        <v>0.5</v>
      </c>
      <c r="D299" s="5" t="s">
        <v>866</v>
      </c>
      <c r="E299" s="5" t="s">
        <v>88</v>
      </c>
      <c r="F299" s="5" t="s">
        <v>644</v>
      </c>
      <c r="G299" s="5">
        <v>50</v>
      </c>
      <c r="H299" s="5">
        <v>3</v>
      </c>
      <c r="I299" s="5">
        <v>65</v>
      </c>
      <c r="J299" s="5">
        <v>441.18</v>
      </c>
      <c r="K299" s="5">
        <v>0.15</v>
      </c>
      <c r="L299" s="5" t="s">
        <v>68</v>
      </c>
      <c r="M299" s="5" t="s">
        <v>59</v>
      </c>
      <c r="N299" s="5">
        <v>4</v>
      </c>
      <c r="O299" s="5" t="s">
        <v>35</v>
      </c>
      <c r="P299" s="5">
        <v>-57.87</v>
      </c>
    </row>
    <row r="300" spans="1:16" x14ac:dyDescent="0.5">
      <c r="A300" s="5" t="s">
        <v>845</v>
      </c>
      <c r="B300" s="8">
        <v>45409</v>
      </c>
      <c r="C300" s="6">
        <v>0.25208333333333333</v>
      </c>
      <c r="D300" s="5" t="s">
        <v>112</v>
      </c>
      <c r="E300" s="5" t="s">
        <v>24</v>
      </c>
      <c r="F300" s="5" t="s">
        <v>78</v>
      </c>
      <c r="G300" s="5">
        <v>44</v>
      </c>
      <c r="H300" s="5">
        <v>4.4000000000000004</v>
      </c>
      <c r="I300" s="5">
        <v>17</v>
      </c>
      <c r="J300" s="5">
        <v>612.41</v>
      </c>
      <c r="K300" s="5">
        <v>0.2</v>
      </c>
      <c r="L300" s="5" t="s">
        <v>834</v>
      </c>
      <c r="M300" s="5" t="s">
        <v>840</v>
      </c>
      <c r="N300" s="5">
        <v>1</v>
      </c>
      <c r="O300" s="5" t="s">
        <v>35</v>
      </c>
      <c r="P300" s="5">
        <v>-31.43</v>
      </c>
    </row>
    <row r="301" spans="1:16" x14ac:dyDescent="0.5">
      <c r="A301" s="5" t="s">
        <v>648</v>
      </c>
      <c r="B301" s="8">
        <v>45474</v>
      </c>
      <c r="C301" s="6">
        <v>0.5</v>
      </c>
      <c r="D301" s="5" t="s">
        <v>46</v>
      </c>
      <c r="E301" s="5" t="s">
        <v>38</v>
      </c>
      <c r="F301" s="5" t="s">
        <v>101</v>
      </c>
      <c r="G301" s="5">
        <v>49</v>
      </c>
      <c r="H301" s="5">
        <v>3.1</v>
      </c>
      <c r="I301" s="5">
        <v>79</v>
      </c>
      <c r="J301" s="5">
        <v>280.14999999999998</v>
      </c>
      <c r="K301" s="5">
        <v>100</v>
      </c>
      <c r="L301" s="5" t="s">
        <v>73</v>
      </c>
      <c r="M301" s="5" t="s">
        <v>59</v>
      </c>
      <c r="N301" s="5">
        <v>10</v>
      </c>
      <c r="O301" s="5" t="s">
        <v>43</v>
      </c>
      <c r="P301" s="5">
        <v>0</v>
      </c>
    </row>
    <row r="302" spans="1:16" x14ac:dyDescent="0.5">
      <c r="A302" s="5" t="s">
        <v>649</v>
      </c>
      <c r="B302" s="8">
        <v>45341</v>
      </c>
      <c r="C302" s="6">
        <v>9.375E-2</v>
      </c>
      <c r="D302" s="5" t="s">
        <v>136</v>
      </c>
      <c r="E302" s="5" t="s">
        <v>93</v>
      </c>
      <c r="F302" s="5" t="s">
        <v>67</v>
      </c>
      <c r="G302" s="5">
        <v>61</v>
      </c>
      <c r="H302" s="5">
        <v>1.3</v>
      </c>
      <c r="I302" s="5">
        <v>58</v>
      </c>
      <c r="J302" s="5">
        <v>1587.98</v>
      </c>
      <c r="K302" s="5">
        <v>75</v>
      </c>
      <c r="L302" s="5" t="s">
        <v>103</v>
      </c>
      <c r="M302" s="5" t="s">
        <v>59</v>
      </c>
      <c r="N302" s="5">
        <v>10</v>
      </c>
      <c r="O302" s="5" t="s">
        <v>51</v>
      </c>
      <c r="P302" s="5">
        <v>176.84</v>
      </c>
    </row>
    <row r="303" spans="1:16" x14ac:dyDescent="0.5">
      <c r="A303" s="5" t="s">
        <v>650</v>
      </c>
      <c r="B303" s="8">
        <v>45361</v>
      </c>
      <c r="C303" s="6">
        <v>0.5</v>
      </c>
      <c r="D303" s="5" t="s">
        <v>23</v>
      </c>
      <c r="E303" s="5" t="s">
        <v>54</v>
      </c>
      <c r="F303" s="5" t="s">
        <v>18</v>
      </c>
      <c r="G303" s="5">
        <v>27</v>
      </c>
      <c r="H303" s="5">
        <v>3.8</v>
      </c>
      <c r="I303" s="5">
        <v>67</v>
      </c>
      <c r="J303" s="5">
        <v>1887.21</v>
      </c>
      <c r="K303" s="5">
        <v>0.1</v>
      </c>
      <c r="L303" s="5" t="s">
        <v>68</v>
      </c>
      <c r="M303" s="5" t="s">
        <v>28</v>
      </c>
      <c r="N303" s="5">
        <v>7</v>
      </c>
      <c r="O303" s="5" t="s">
        <v>43</v>
      </c>
      <c r="P303" s="5">
        <v>-69.900000000000006</v>
      </c>
    </row>
    <row r="304" spans="1:16" x14ac:dyDescent="0.5">
      <c r="A304" s="5" t="s">
        <v>651</v>
      </c>
      <c r="B304" s="8">
        <v>45417</v>
      </c>
      <c r="C304" s="6">
        <v>0.5</v>
      </c>
      <c r="D304" s="5" t="s">
        <v>70</v>
      </c>
      <c r="E304" s="5" t="s">
        <v>38</v>
      </c>
      <c r="F304" s="5" t="s">
        <v>652</v>
      </c>
      <c r="G304" s="5">
        <v>45</v>
      </c>
      <c r="H304" s="5">
        <v>1.4</v>
      </c>
      <c r="I304" s="5">
        <v>34</v>
      </c>
      <c r="J304" s="5">
        <v>0</v>
      </c>
      <c r="K304" s="5">
        <v>0.15</v>
      </c>
      <c r="L304" s="5" t="s">
        <v>73</v>
      </c>
      <c r="M304" s="5" t="s">
        <v>59</v>
      </c>
      <c r="N304" s="5">
        <v>5</v>
      </c>
      <c r="O304" s="5" t="s">
        <v>83</v>
      </c>
      <c r="P304" s="5">
        <v>0</v>
      </c>
    </row>
    <row r="305" spans="1:16" x14ac:dyDescent="0.5">
      <c r="A305" s="5" t="s">
        <v>845</v>
      </c>
      <c r="B305" s="8">
        <v>45341</v>
      </c>
      <c r="C305" s="6">
        <v>0.5</v>
      </c>
      <c r="D305" s="5" t="s">
        <v>81</v>
      </c>
      <c r="E305" s="5" t="s">
        <v>146</v>
      </c>
      <c r="F305" s="5" t="s">
        <v>78</v>
      </c>
      <c r="G305" s="5">
        <v>49</v>
      </c>
      <c r="H305" s="5">
        <v>3.8</v>
      </c>
      <c r="I305" s="5">
        <v>0</v>
      </c>
      <c r="J305" s="5">
        <v>2148.13</v>
      </c>
      <c r="K305" s="5">
        <v>100</v>
      </c>
      <c r="L305" s="5" t="s">
        <v>73</v>
      </c>
      <c r="M305" s="5" t="s">
        <v>28</v>
      </c>
      <c r="N305" s="5">
        <v>5</v>
      </c>
      <c r="O305" s="5" t="s">
        <v>836</v>
      </c>
      <c r="P305" s="5">
        <v>-30.92</v>
      </c>
    </row>
    <row r="306" spans="1:16" x14ac:dyDescent="0.5">
      <c r="A306" s="5" t="s">
        <v>654</v>
      </c>
      <c r="B306" s="8">
        <v>45322</v>
      </c>
      <c r="C306" s="6">
        <v>0.5</v>
      </c>
      <c r="D306" s="5" t="s">
        <v>81</v>
      </c>
      <c r="E306" s="5" t="s">
        <v>38</v>
      </c>
      <c r="F306" s="5" t="s">
        <v>97</v>
      </c>
      <c r="G306" s="5">
        <v>37</v>
      </c>
      <c r="H306" s="5">
        <v>1.8</v>
      </c>
      <c r="I306" s="5">
        <v>19</v>
      </c>
      <c r="J306" s="5">
        <v>986.82</v>
      </c>
      <c r="K306" s="5">
        <v>0.1</v>
      </c>
      <c r="L306" s="5" t="s">
        <v>834</v>
      </c>
      <c r="M306" s="5" t="s">
        <v>28</v>
      </c>
      <c r="N306" s="5">
        <v>6</v>
      </c>
      <c r="O306" s="5" t="s">
        <v>43</v>
      </c>
      <c r="P306" s="5">
        <v>239.01</v>
      </c>
    </row>
    <row r="307" spans="1:16" x14ac:dyDescent="0.5">
      <c r="A307" s="5" t="s">
        <v>657</v>
      </c>
      <c r="B307" s="8">
        <v>45443</v>
      </c>
      <c r="C307" s="6">
        <v>0.5</v>
      </c>
      <c r="D307" s="5" t="s">
        <v>843</v>
      </c>
      <c r="E307" s="5" t="s">
        <v>838</v>
      </c>
      <c r="F307" s="5" t="s">
        <v>78</v>
      </c>
      <c r="G307" s="5">
        <v>47</v>
      </c>
      <c r="H307" s="5">
        <v>3.4</v>
      </c>
      <c r="I307" s="5">
        <v>35</v>
      </c>
      <c r="J307" s="5">
        <v>2106.83</v>
      </c>
      <c r="K307" s="5">
        <v>0.1</v>
      </c>
      <c r="L307" s="5" t="s">
        <v>68</v>
      </c>
      <c r="M307" s="5" t="s">
        <v>835</v>
      </c>
      <c r="N307" s="5">
        <v>1</v>
      </c>
      <c r="O307" s="5" t="s">
        <v>840</v>
      </c>
      <c r="P307" s="5">
        <v>-54.89</v>
      </c>
    </row>
    <row r="308" spans="1:16" x14ac:dyDescent="0.5">
      <c r="A308" s="5" t="s">
        <v>661</v>
      </c>
      <c r="B308" s="8">
        <v>45455</v>
      </c>
      <c r="C308" s="6">
        <v>0.5</v>
      </c>
      <c r="D308" s="5" t="s">
        <v>244</v>
      </c>
      <c r="E308" s="5" t="s">
        <v>58</v>
      </c>
      <c r="F308" s="5" t="s">
        <v>101</v>
      </c>
      <c r="G308" s="5">
        <v>52</v>
      </c>
      <c r="H308" s="5">
        <v>1.5</v>
      </c>
      <c r="I308" s="5">
        <v>50</v>
      </c>
      <c r="J308" s="5">
        <v>1989.48</v>
      </c>
      <c r="K308" s="5">
        <v>0</v>
      </c>
      <c r="L308" s="5" t="s">
        <v>68</v>
      </c>
      <c r="M308" s="5" t="s">
        <v>28</v>
      </c>
      <c r="N308" s="5">
        <v>2</v>
      </c>
      <c r="O308" s="5" t="s">
        <v>21</v>
      </c>
      <c r="P308" s="5">
        <v>92.29</v>
      </c>
    </row>
    <row r="309" spans="1:16" x14ac:dyDescent="0.5">
      <c r="A309" s="5" t="s">
        <v>662</v>
      </c>
      <c r="B309" s="8">
        <v>45633</v>
      </c>
      <c r="C309" s="6">
        <v>0.5</v>
      </c>
      <c r="D309" s="5" t="s">
        <v>839</v>
      </c>
      <c r="E309" s="5" t="s">
        <v>71</v>
      </c>
      <c r="F309" s="5" t="s">
        <v>663</v>
      </c>
      <c r="G309" s="5">
        <v>49</v>
      </c>
      <c r="H309" s="5">
        <v>2.8</v>
      </c>
      <c r="I309" s="5">
        <v>62</v>
      </c>
      <c r="J309" s="5">
        <v>593.89</v>
      </c>
      <c r="K309" s="5">
        <v>0</v>
      </c>
      <c r="L309" s="5" t="s">
        <v>103</v>
      </c>
      <c r="M309" s="5" t="s">
        <v>59</v>
      </c>
      <c r="N309" s="5">
        <v>8</v>
      </c>
      <c r="O309" s="5" t="s">
        <v>21</v>
      </c>
      <c r="P309" s="5">
        <v>91.77</v>
      </c>
    </row>
    <row r="310" spans="1:16" x14ac:dyDescent="0.5">
      <c r="A310" s="5" t="s">
        <v>665</v>
      </c>
      <c r="B310" s="8">
        <v>45433</v>
      </c>
      <c r="C310" s="6">
        <v>0.28402777777777777</v>
      </c>
      <c r="D310" s="5" t="s">
        <v>839</v>
      </c>
      <c r="E310" s="5" t="s">
        <v>58</v>
      </c>
      <c r="F310" s="5" t="s">
        <v>97</v>
      </c>
      <c r="G310" s="5">
        <v>34</v>
      </c>
      <c r="H310" s="5">
        <v>5</v>
      </c>
      <c r="I310" s="5">
        <v>67</v>
      </c>
      <c r="J310" s="5">
        <v>2455.52</v>
      </c>
      <c r="K310" s="5">
        <v>0.5</v>
      </c>
      <c r="L310" s="5" t="s">
        <v>73</v>
      </c>
      <c r="M310" s="5" t="s">
        <v>59</v>
      </c>
      <c r="N310" s="5">
        <v>9</v>
      </c>
      <c r="O310" s="5" t="s">
        <v>51</v>
      </c>
      <c r="P310" s="5">
        <v>-42.59</v>
      </c>
    </row>
    <row r="311" spans="1:16" x14ac:dyDescent="0.5">
      <c r="A311" s="5" t="s">
        <v>666</v>
      </c>
      <c r="B311" s="8">
        <v>45293</v>
      </c>
      <c r="C311" s="6">
        <v>0.5</v>
      </c>
      <c r="D311" s="5" t="s">
        <v>122</v>
      </c>
      <c r="E311" s="5" t="s">
        <v>88</v>
      </c>
      <c r="F311" s="5" t="s">
        <v>18</v>
      </c>
      <c r="G311" s="5">
        <v>60</v>
      </c>
      <c r="H311" s="5">
        <v>4.5999999999999996</v>
      </c>
      <c r="I311" s="5">
        <v>20</v>
      </c>
      <c r="J311" s="5">
        <v>862.3</v>
      </c>
      <c r="K311" s="5">
        <v>0</v>
      </c>
      <c r="L311" s="5" t="s">
        <v>73</v>
      </c>
      <c r="M311" s="5" t="s">
        <v>840</v>
      </c>
      <c r="N311" s="5">
        <v>1</v>
      </c>
      <c r="O311" s="5" t="s">
        <v>43</v>
      </c>
      <c r="P311" s="5">
        <v>-44.73</v>
      </c>
    </row>
    <row r="312" spans="1:16" x14ac:dyDescent="0.5">
      <c r="A312" s="5" t="s">
        <v>667</v>
      </c>
      <c r="B312" s="8">
        <v>45385</v>
      </c>
      <c r="C312" s="6">
        <v>0.5</v>
      </c>
      <c r="D312" s="5" t="s">
        <v>136</v>
      </c>
      <c r="E312" s="5" t="s">
        <v>17</v>
      </c>
      <c r="F312" s="5" t="s">
        <v>18</v>
      </c>
      <c r="G312" s="5">
        <v>54</v>
      </c>
      <c r="H312" s="5">
        <v>4.0999999999999996</v>
      </c>
      <c r="I312" s="5">
        <v>50</v>
      </c>
      <c r="J312" s="5">
        <v>686.23</v>
      </c>
      <c r="K312" s="5">
        <v>100</v>
      </c>
      <c r="L312" s="5" t="s">
        <v>68</v>
      </c>
      <c r="M312" s="5" t="s">
        <v>28</v>
      </c>
      <c r="N312" s="5">
        <v>10</v>
      </c>
      <c r="O312" s="5" t="s">
        <v>21</v>
      </c>
      <c r="P312" s="5">
        <v>0</v>
      </c>
    </row>
    <row r="313" spans="1:16" x14ac:dyDescent="0.5">
      <c r="A313" s="5" t="s">
        <v>668</v>
      </c>
      <c r="B313" s="8">
        <v>45483</v>
      </c>
      <c r="C313" s="6">
        <v>0.35972222222222222</v>
      </c>
      <c r="D313" s="5" t="s">
        <v>122</v>
      </c>
      <c r="E313" s="5" t="s">
        <v>49</v>
      </c>
      <c r="F313" s="5" t="s">
        <v>39</v>
      </c>
      <c r="G313" s="5">
        <v>25</v>
      </c>
      <c r="H313" s="5">
        <v>3.6</v>
      </c>
      <c r="I313" s="5">
        <v>16</v>
      </c>
      <c r="J313" s="5">
        <v>1103.79</v>
      </c>
      <c r="K313" s="5">
        <v>50</v>
      </c>
      <c r="L313" s="5" t="s">
        <v>27</v>
      </c>
      <c r="M313" s="5" t="s">
        <v>28</v>
      </c>
      <c r="N313" s="5">
        <v>4</v>
      </c>
      <c r="O313" s="5" t="s">
        <v>836</v>
      </c>
      <c r="P313" s="5">
        <v>-17.96</v>
      </c>
    </row>
    <row r="314" spans="1:16" x14ac:dyDescent="0.5">
      <c r="A314" s="5" t="s">
        <v>669</v>
      </c>
      <c r="B314" s="8">
        <v>45417</v>
      </c>
      <c r="C314" s="6">
        <v>0.5</v>
      </c>
      <c r="D314" s="5" t="s">
        <v>843</v>
      </c>
      <c r="E314" s="5" t="s">
        <v>24</v>
      </c>
      <c r="F314" s="5" t="s">
        <v>67</v>
      </c>
      <c r="G314" s="5">
        <v>36</v>
      </c>
      <c r="H314" s="5">
        <v>2.7</v>
      </c>
      <c r="I314" s="5">
        <v>0</v>
      </c>
      <c r="J314" s="5">
        <v>1989.95</v>
      </c>
      <c r="K314" s="5">
        <v>75</v>
      </c>
      <c r="L314" s="5" t="s">
        <v>73</v>
      </c>
      <c r="M314" s="5" t="s">
        <v>59</v>
      </c>
      <c r="N314" s="5">
        <v>8</v>
      </c>
      <c r="O314" s="5" t="s">
        <v>35</v>
      </c>
      <c r="P314" s="5">
        <v>177.73</v>
      </c>
    </row>
    <row r="315" spans="1:16" x14ac:dyDescent="0.5">
      <c r="A315" s="5" t="s">
        <v>670</v>
      </c>
      <c r="B315" s="8">
        <v>45433</v>
      </c>
      <c r="C315" s="6">
        <v>0.22430555555555556</v>
      </c>
      <c r="D315" s="5" t="s">
        <v>136</v>
      </c>
      <c r="E315" s="5" t="s">
        <v>54</v>
      </c>
      <c r="F315" s="5" t="s">
        <v>838</v>
      </c>
      <c r="G315" s="5">
        <v>24</v>
      </c>
      <c r="H315" s="5">
        <v>2.1</v>
      </c>
      <c r="I315" s="5">
        <v>38</v>
      </c>
      <c r="J315" s="5">
        <v>1613.5</v>
      </c>
      <c r="K315" s="5">
        <v>0</v>
      </c>
      <c r="L315" s="5" t="s">
        <v>834</v>
      </c>
      <c r="M315" s="5" t="s">
        <v>28</v>
      </c>
      <c r="N315" s="5">
        <v>5</v>
      </c>
      <c r="O315" s="5" t="s">
        <v>836</v>
      </c>
      <c r="P315" s="5">
        <v>185.52</v>
      </c>
    </row>
    <row r="316" spans="1:16" x14ac:dyDescent="0.5">
      <c r="A316" s="5" t="s">
        <v>671</v>
      </c>
      <c r="B316" s="8">
        <v>45357</v>
      </c>
      <c r="C316" s="6">
        <v>0.5</v>
      </c>
      <c r="D316" s="5" t="s">
        <v>866</v>
      </c>
      <c r="E316" s="5" t="s">
        <v>38</v>
      </c>
      <c r="F316" s="5" t="s">
        <v>67</v>
      </c>
      <c r="G316" s="5">
        <v>54</v>
      </c>
      <c r="H316" s="5">
        <v>1.9</v>
      </c>
      <c r="I316" s="5">
        <v>41</v>
      </c>
      <c r="J316" s="5">
        <v>1231.6600000000001</v>
      </c>
      <c r="K316" s="5">
        <v>0</v>
      </c>
      <c r="L316" s="5" t="s">
        <v>27</v>
      </c>
      <c r="M316" s="5" t="s">
        <v>42</v>
      </c>
      <c r="N316" s="5">
        <v>5</v>
      </c>
      <c r="O316" s="5" t="s">
        <v>21</v>
      </c>
      <c r="P316" s="5">
        <v>247.13</v>
      </c>
    </row>
    <row r="317" spans="1:16" x14ac:dyDescent="0.5">
      <c r="A317" s="5" t="s">
        <v>672</v>
      </c>
      <c r="B317" s="8">
        <v>45315</v>
      </c>
      <c r="C317" s="6">
        <v>0.5</v>
      </c>
      <c r="D317" s="5" t="s">
        <v>122</v>
      </c>
      <c r="E317" s="5" t="s">
        <v>58</v>
      </c>
      <c r="F317" s="5" t="s">
        <v>39</v>
      </c>
      <c r="G317" s="5">
        <v>39</v>
      </c>
      <c r="H317" s="5">
        <v>3</v>
      </c>
      <c r="I317" s="5">
        <v>51</v>
      </c>
      <c r="J317" s="5">
        <v>780.85</v>
      </c>
      <c r="K317" s="5">
        <v>0.2</v>
      </c>
      <c r="L317" s="5" t="s">
        <v>837</v>
      </c>
      <c r="M317" s="5" t="s">
        <v>840</v>
      </c>
      <c r="N317" s="5">
        <v>3</v>
      </c>
      <c r="O317" s="5" t="s">
        <v>35</v>
      </c>
      <c r="P317" s="5">
        <v>-20.8</v>
      </c>
    </row>
    <row r="318" spans="1:16" x14ac:dyDescent="0.5">
      <c r="A318" s="5" t="s">
        <v>675</v>
      </c>
      <c r="B318" s="8">
        <v>45406</v>
      </c>
      <c r="C318" s="6">
        <v>0.5</v>
      </c>
      <c r="D318" s="5" t="s">
        <v>81</v>
      </c>
      <c r="E318" s="5" t="s">
        <v>17</v>
      </c>
      <c r="F318" s="5" t="s">
        <v>67</v>
      </c>
      <c r="G318" s="5">
        <v>21</v>
      </c>
      <c r="H318" s="5">
        <v>3.8</v>
      </c>
      <c r="I318" s="5">
        <v>29</v>
      </c>
      <c r="J318" s="5">
        <v>1452.95</v>
      </c>
      <c r="K318" s="5">
        <v>150</v>
      </c>
      <c r="L318" s="5" t="s">
        <v>27</v>
      </c>
      <c r="M318" s="5" t="s">
        <v>42</v>
      </c>
      <c r="N318" s="5">
        <v>10</v>
      </c>
      <c r="O318" s="5" t="s">
        <v>51</v>
      </c>
      <c r="P318" s="5">
        <v>102.25</v>
      </c>
    </row>
    <row r="319" spans="1:16" x14ac:dyDescent="0.5">
      <c r="A319" s="5" t="s">
        <v>676</v>
      </c>
      <c r="B319" s="8">
        <v>45377</v>
      </c>
      <c r="C319" s="6">
        <v>0.5</v>
      </c>
      <c r="D319" s="5" t="s">
        <v>843</v>
      </c>
      <c r="E319" s="5" t="s">
        <v>24</v>
      </c>
      <c r="F319" s="5" t="s">
        <v>677</v>
      </c>
      <c r="G319" s="5">
        <v>22</v>
      </c>
      <c r="H319" s="5">
        <v>3.5</v>
      </c>
      <c r="I319" s="5">
        <v>63</v>
      </c>
      <c r="J319" s="5">
        <v>885.98</v>
      </c>
      <c r="K319" s="5">
        <v>0.2</v>
      </c>
      <c r="L319" s="5" t="s">
        <v>840</v>
      </c>
      <c r="M319" s="5" t="s">
        <v>28</v>
      </c>
      <c r="N319" s="5">
        <v>1</v>
      </c>
      <c r="O319" s="5" t="s">
        <v>21</v>
      </c>
      <c r="P319" s="5">
        <v>186.63</v>
      </c>
    </row>
    <row r="320" spans="1:16" x14ac:dyDescent="0.5">
      <c r="A320" s="5" t="s">
        <v>678</v>
      </c>
      <c r="B320" s="8">
        <v>45317</v>
      </c>
      <c r="C320" s="6">
        <v>0.12430555555555556</v>
      </c>
      <c r="D320" s="5" t="s">
        <v>37</v>
      </c>
      <c r="E320" s="5" t="s">
        <v>838</v>
      </c>
      <c r="F320" s="5" t="s">
        <v>33</v>
      </c>
      <c r="G320" s="5">
        <v>50</v>
      </c>
      <c r="H320" s="5">
        <v>4</v>
      </c>
      <c r="I320" s="5">
        <v>25</v>
      </c>
      <c r="J320" s="5">
        <v>1418.95</v>
      </c>
      <c r="K320" s="5">
        <v>120</v>
      </c>
      <c r="L320" s="5" t="s">
        <v>837</v>
      </c>
      <c r="M320" s="5" t="s">
        <v>42</v>
      </c>
      <c r="N320" s="5">
        <v>1</v>
      </c>
      <c r="O320" s="5" t="s">
        <v>83</v>
      </c>
      <c r="P320" s="5">
        <v>0</v>
      </c>
    </row>
    <row r="321" spans="1:16" x14ac:dyDescent="0.5">
      <c r="A321" s="5" t="s">
        <v>858</v>
      </c>
      <c r="B321" s="8">
        <v>45354</v>
      </c>
      <c r="C321" s="6">
        <v>0.5</v>
      </c>
      <c r="D321" s="5" t="s">
        <v>839</v>
      </c>
      <c r="E321" s="5" t="s">
        <v>71</v>
      </c>
      <c r="F321" s="5" t="s">
        <v>101</v>
      </c>
      <c r="G321" s="5">
        <v>0</v>
      </c>
      <c r="H321" s="5">
        <v>1.7</v>
      </c>
      <c r="I321" s="5">
        <v>20</v>
      </c>
      <c r="J321" s="5">
        <v>0</v>
      </c>
      <c r="K321" s="5">
        <v>100</v>
      </c>
      <c r="L321" s="5" t="s">
        <v>68</v>
      </c>
      <c r="M321" s="5" t="s">
        <v>28</v>
      </c>
      <c r="N321" s="5">
        <v>0</v>
      </c>
      <c r="O321" s="5" t="s">
        <v>51</v>
      </c>
      <c r="P321" s="5">
        <v>202.53</v>
      </c>
    </row>
    <row r="322" spans="1:16" x14ac:dyDescent="0.5">
      <c r="A322" s="5" t="s">
        <v>681</v>
      </c>
      <c r="B322" s="8">
        <v>45304</v>
      </c>
      <c r="C322" s="6">
        <v>0.5</v>
      </c>
      <c r="D322" s="5" t="s">
        <v>23</v>
      </c>
      <c r="E322" s="5" t="s">
        <v>17</v>
      </c>
      <c r="F322" s="5" t="s">
        <v>33</v>
      </c>
      <c r="G322" s="5">
        <v>30</v>
      </c>
      <c r="H322" s="5">
        <v>4.0999999999999996</v>
      </c>
      <c r="I322" s="5">
        <v>23</v>
      </c>
      <c r="J322" s="5">
        <v>1071.31</v>
      </c>
      <c r="K322" s="5">
        <v>50</v>
      </c>
      <c r="L322" s="5" t="s">
        <v>27</v>
      </c>
      <c r="M322" s="5" t="s">
        <v>28</v>
      </c>
      <c r="N322" s="5">
        <v>7</v>
      </c>
      <c r="O322" s="5" t="s">
        <v>83</v>
      </c>
      <c r="P322" s="5">
        <v>58.53</v>
      </c>
    </row>
    <row r="323" spans="1:16" x14ac:dyDescent="0.5">
      <c r="A323" s="5" t="s">
        <v>682</v>
      </c>
      <c r="B323" s="8">
        <v>45427</v>
      </c>
      <c r="C323" s="6">
        <v>0.5</v>
      </c>
      <c r="D323" s="5" t="s">
        <v>23</v>
      </c>
      <c r="E323" s="5" t="s">
        <v>71</v>
      </c>
      <c r="F323" s="5" t="s">
        <v>61</v>
      </c>
      <c r="G323" s="5">
        <v>29</v>
      </c>
      <c r="H323" s="5">
        <v>1.9</v>
      </c>
      <c r="I323" s="5">
        <v>58</v>
      </c>
      <c r="J323" s="5">
        <v>1413.46</v>
      </c>
      <c r="K323" s="5">
        <v>0.1</v>
      </c>
      <c r="L323" s="5" t="s">
        <v>27</v>
      </c>
      <c r="M323" s="5" t="s">
        <v>59</v>
      </c>
      <c r="N323" s="5">
        <v>9</v>
      </c>
      <c r="O323" s="5" t="s">
        <v>51</v>
      </c>
      <c r="P323" s="5">
        <v>-5.46</v>
      </c>
    </row>
    <row r="324" spans="1:16" x14ac:dyDescent="0.5">
      <c r="A324" s="5" t="s">
        <v>683</v>
      </c>
      <c r="B324" s="8">
        <v>45424</v>
      </c>
      <c r="C324" s="6">
        <v>0.5</v>
      </c>
      <c r="D324" s="5" t="s">
        <v>23</v>
      </c>
      <c r="E324" s="5" t="s">
        <v>17</v>
      </c>
      <c r="F324" s="5" t="s">
        <v>39</v>
      </c>
      <c r="G324" s="5">
        <v>40</v>
      </c>
      <c r="H324" s="5">
        <v>3.1</v>
      </c>
      <c r="I324" s="5">
        <v>30</v>
      </c>
      <c r="J324" s="5">
        <v>1059.43</v>
      </c>
      <c r="K324" s="5">
        <v>0.1</v>
      </c>
      <c r="L324" s="5" t="s">
        <v>834</v>
      </c>
      <c r="M324" s="5" t="s">
        <v>28</v>
      </c>
      <c r="N324" s="5">
        <v>10</v>
      </c>
      <c r="O324" s="5" t="s">
        <v>21</v>
      </c>
      <c r="P324" s="5">
        <v>-8.4600000000000009</v>
      </c>
    </row>
    <row r="325" spans="1:16" x14ac:dyDescent="0.5">
      <c r="A325" s="5" t="s">
        <v>684</v>
      </c>
      <c r="B325" s="8">
        <v>45396</v>
      </c>
      <c r="C325" s="6">
        <v>4.9305555555555554E-2</v>
      </c>
      <c r="D325" s="5" t="s">
        <v>866</v>
      </c>
      <c r="E325" s="5" t="s">
        <v>38</v>
      </c>
      <c r="F325" s="5" t="s">
        <v>55</v>
      </c>
      <c r="G325" s="5">
        <v>0</v>
      </c>
      <c r="H325" s="5">
        <v>1.8</v>
      </c>
      <c r="I325" s="5">
        <v>0</v>
      </c>
      <c r="J325" s="5">
        <v>2049.44</v>
      </c>
      <c r="K325" s="5">
        <v>0.5</v>
      </c>
      <c r="L325" s="5" t="s">
        <v>834</v>
      </c>
      <c r="M325" s="5" t="s">
        <v>28</v>
      </c>
      <c r="N325" s="5">
        <v>8</v>
      </c>
      <c r="O325" s="5" t="s">
        <v>83</v>
      </c>
      <c r="P325" s="5">
        <v>116.7</v>
      </c>
    </row>
    <row r="326" spans="1:16" x14ac:dyDescent="0.5">
      <c r="A326" s="5" t="s">
        <v>685</v>
      </c>
      <c r="B326" s="8">
        <v>45450</v>
      </c>
      <c r="C326" s="6">
        <v>0.5</v>
      </c>
      <c r="D326" s="5" t="s">
        <v>839</v>
      </c>
      <c r="E326" s="5" t="s">
        <v>146</v>
      </c>
      <c r="F326" s="5" t="s">
        <v>78</v>
      </c>
      <c r="G326" s="5">
        <v>48</v>
      </c>
      <c r="H326" s="5">
        <v>1.1000000000000001</v>
      </c>
      <c r="I326" s="5">
        <v>41</v>
      </c>
      <c r="J326" s="5">
        <v>583.4</v>
      </c>
      <c r="K326" s="5">
        <v>0.15</v>
      </c>
      <c r="L326" s="5" t="s">
        <v>103</v>
      </c>
      <c r="M326" s="5" t="s">
        <v>59</v>
      </c>
      <c r="N326" s="5">
        <v>1</v>
      </c>
      <c r="O326" s="5" t="s">
        <v>836</v>
      </c>
      <c r="P326" s="5">
        <v>-37.08</v>
      </c>
    </row>
    <row r="327" spans="1:16" x14ac:dyDescent="0.5">
      <c r="A327" s="5" t="s">
        <v>688</v>
      </c>
      <c r="B327" s="8">
        <v>45435</v>
      </c>
      <c r="C327" s="6">
        <v>0.5</v>
      </c>
      <c r="D327" s="5" t="s">
        <v>122</v>
      </c>
      <c r="E327" s="5" t="s">
        <v>17</v>
      </c>
      <c r="F327" s="5" t="s">
        <v>18</v>
      </c>
      <c r="G327" s="5">
        <v>60</v>
      </c>
      <c r="H327" s="5">
        <v>3.9</v>
      </c>
      <c r="I327" s="5">
        <v>67</v>
      </c>
      <c r="J327" s="5">
        <v>229.77</v>
      </c>
      <c r="K327" s="5">
        <v>0.1</v>
      </c>
      <c r="L327" s="5" t="s">
        <v>834</v>
      </c>
      <c r="M327" s="5" t="s">
        <v>841</v>
      </c>
      <c r="N327" s="5">
        <v>10</v>
      </c>
      <c r="O327" s="5" t="s">
        <v>836</v>
      </c>
      <c r="P327" s="5">
        <v>109.45</v>
      </c>
    </row>
    <row r="328" spans="1:16" x14ac:dyDescent="0.5">
      <c r="A328" s="5" t="s">
        <v>689</v>
      </c>
      <c r="B328" s="8">
        <v>45357</v>
      </c>
      <c r="C328" s="6">
        <v>0.5</v>
      </c>
      <c r="D328" s="5" t="s">
        <v>70</v>
      </c>
      <c r="E328" s="5" t="s">
        <v>146</v>
      </c>
      <c r="F328" s="5" t="s">
        <v>101</v>
      </c>
      <c r="G328" s="5">
        <v>61</v>
      </c>
      <c r="H328" s="5">
        <v>4.9000000000000004</v>
      </c>
      <c r="I328" s="5">
        <v>52</v>
      </c>
      <c r="J328" s="5">
        <v>465.53</v>
      </c>
      <c r="K328" s="5">
        <v>150</v>
      </c>
      <c r="L328" s="5" t="s">
        <v>103</v>
      </c>
      <c r="M328" s="5" t="s">
        <v>28</v>
      </c>
      <c r="N328" s="5">
        <v>4</v>
      </c>
      <c r="O328" s="5" t="s">
        <v>35</v>
      </c>
      <c r="P328" s="5">
        <v>196.93</v>
      </c>
    </row>
    <row r="329" spans="1:16" x14ac:dyDescent="0.5">
      <c r="A329" s="5" t="s">
        <v>693</v>
      </c>
      <c r="B329" s="8">
        <v>45293</v>
      </c>
      <c r="C329" s="6">
        <v>0.5</v>
      </c>
      <c r="D329" s="5" t="s">
        <v>70</v>
      </c>
      <c r="E329" s="5" t="s">
        <v>93</v>
      </c>
      <c r="F329" s="5" t="s">
        <v>97</v>
      </c>
      <c r="G329" s="5">
        <v>19</v>
      </c>
      <c r="H329" s="5">
        <v>0</v>
      </c>
      <c r="I329" s="5">
        <v>48</v>
      </c>
      <c r="J329" s="5">
        <v>253.25</v>
      </c>
      <c r="K329" s="5">
        <v>0</v>
      </c>
      <c r="L329" s="5" t="s">
        <v>27</v>
      </c>
      <c r="M329" s="5" t="s">
        <v>28</v>
      </c>
      <c r="N329" s="5">
        <v>4</v>
      </c>
      <c r="O329" s="5" t="s">
        <v>51</v>
      </c>
      <c r="P329" s="5">
        <v>126.9</v>
      </c>
    </row>
    <row r="330" spans="1:16" x14ac:dyDescent="0.5">
      <c r="A330" s="5" t="s">
        <v>695</v>
      </c>
      <c r="B330" s="8">
        <v>45361</v>
      </c>
      <c r="C330" s="6">
        <v>0.5</v>
      </c>
      <c r="D330" s="5" t="s">
        <v>81</v>
      </c>
      <c r="E330" s="5" t="s">
        <v>24</v>
      </c>
      <c r="F330" s="5" t="s">
        <v>55</v>
      </c>
      <c r="G330" s="5">
        <v>23</v>
      </c>
      <c r="H330" s="5">
        <v>3</v>
      </c>
      <c r="I330" s="5">
        <v>75</v>
      </c>
      <c r="J330" s="5">
        <v>2316.33</v>
      </c>
      <c r="K330" s="5">
        <v>120</v>
      </c>
      <c r="L330" s="5" t="s">
        <v>27</v>
      </c>
      <c r="M330" s="5" t="s">
        <v>28</v>
      </c>
      <c r="N330" s="5">
        <v>2</v>
      </c>
      <c r="O330" s="5" t="s">
        <v>35</v>
      </c>
      <c r="P330" s="5">
        <v>-50.57</v>
      </c>
    </row>
    <row r="331" spans="1:16" x14ac:dyDescent="0.5">
      <c r="A331" s="5" t="s">
        <v>698</v>
      </c>
      <c r="B331" s="8">
        <v>45362</v>
      </c>
      <c r="C331" s="6">
        <v>0.5</v>
      </c>
      <c r="D331" s="5" t="s">
        <v>66</v>
      </c>
      <c r="E331" s="5" t="s">
        <v>88</v>
      </c>
      <c r="F331" s="5" t="s">
        <v>67</v>
      </c>
      <c r="G331" s="5">
        <v>0</v>
      </c>
      <c r="H331" s="5">
        <v>1.4</v>
      </c>
      <c r="I331" s="5">
        <v>38</v>
      </c>
      <c r="J331" s="5">
        <v>363.56</v>
      </c>
      <c r="K331" s="5">
        <v>100</v>
      </c>
      <c r="L331" s="5" t="s">
        <v>68</v>
      </c>
      <c r="M331" s="5" t="s">
        <v>28</v>
      </c>
      <c r="N331" s="5">
        <v>4</v>
      </c>
      <c r="O331" s="5" t="s">
        <v>51</v>
      </c>
      <c r="P331" s="5">
        <v>90.05</v>
      </c>
    </row>
    <row r="332" spans="1:16" x14ac:dyDescent="0.5">
      <c r="A332" s="5" t="s">
        <v>701</v>
      </c>
      <c r="B332" s="8">
        <v>45450</v>
      </c>
      <c r="C332" s="6">
        <v>0.5</v>
      </c>
      <c r="D332" s="5" t="s">
        <v>136</v>
      </c>
      <c r="E332" s="5" t="s">
        <v>24</v>
      </c>
      <c r="F332" s="5" t="s">
        <v>18</v>
      </c>
      <c r="G332" s="5">
        <v>36</v>
      </c>
      <c r="H332" s="5">
        <v>4.5</v>
      </c>
      <c r="I332" s="5">
        <v>31</v>
      </c>
      <c r="J332" s="5">
        <v>0</v>
      </c>
      <c r="K332" s="5">
        <v>0.1</v>
      </c>
      <c r="L332" s="5" t="s">
        <v>103</v>
      </c>
      <c r="M332" s="5" t="s">
        <v>28</v>
      </c>
      <c r="N332" s="5">
        <v>9</v>
      </c>
      <c r="O332" s="5" t="s">
        <v>83</v>
      </c>
      <c r="P332" s="5">
        <v>119.85</v>
      </c>
    </row>
    <row r="333" spans="1:16" x14ac:dyDescent="0.5">
      <c r="A333" s="5" t="s">
        <v>702</v>
      </c>
      <c r="B333" s="8">
        <v>45308</v>
      </c>
      <c r="C333" s="6">
        <v>0.5</v>
      </c>
      <c r="D333" s="5" t="s">
        <v>839</v>
      </c>
      <c r="E333" s="5" t="s">
        <v>17</v>
      </c>
      <c r="F333" s="5" t="s">
        <v>33</v>
      </c>
      <c r="G333" s="5">
        <v>52</v>
      </c>
      <c r="H333" s="5">
        <v>3.6</v>
      </c>
      <c r="I333" s="5">
        <v>0</v>
      </c>
      <c r="J333" s="5">
        <v>1585.09</v>
      </c>
      <c r="K333" s="5">
        <v>120</v>
      </c>
      <c r="L333" s="5" t="s">
        <v>834</v>
      </c>
      <c r="M333" s="5" t="s">
        <v>28</v>
      </c>
      <c r="N333" s="5">
        <v>10</v>
      </c>
      <c r="O333" s="5" t="s">
        <v>51</v>
      </c>
      <c r="P333" s="5">
        <v>157.12</v>
      </c>
    </row>
    <row r="334" spans="1:16" x14ac:dyDescent="0.5">
      <c r="A334" s="5" t="s">
        <v>704</v>
      </c>
      <c r="B334" s="8">
        <v>45448</v>
      </c>
      <c r="C334" s="6">
        <v>0.5</v>
      </c>
      <c r="D334" s="5" t="s">
        <v>66</v>
      </c>
      <c r="E334" s="5" t="s">
        <v>54</v>
      </c>
      <c r="F334" s="5" t="s">
        <v>25</v>
      </c>
      <c r="G334" s="5">
        <v>43</v>
      </c>
      <c r="H334" s="5">
        <v>1.3</v>
      </c>
      <c r="I334" s="5">
        <v>56</v>
      </c>
      <c r="J334" s="5">
        <v>564.11</v>
      </c>
      <c r="K334" s="5">
        <v>100</v>
      </c>
      <c r="L334" s="5" t="s">
        <v>68</v>
      </c>
      <c r="M334" s="5" t="s">
        <v>28</v>
      </c>
      <c r="N334" s="5">
        <v>4</v>
      </c>
      <c r="O334" s="5" t="s">
        <v>83</v>
      </c>
      <c r="P334" s="5">
        <v>42.12</v>
      </c>
    </row>
    <row r="335" spans="1:16" x14ac:dyDescent="0.5">
      <c r="A335" s="5" t="s">
        <v>708</v>
      </c>
      <c r="B335" s="8">
        <v>45333</v>
      </c>
      <c r="C335" s="6">
        <v>0.5</v>
      </c>
      <c r="D335" s="5" t="s">
        <v>37</v>
      </c>
      <c r="E335" s="5" t="s">
        <v>38</v>
      </c>
      <c r="F335" s="5" t="s">
        <v>67</v>
      </c>
      <c r="G335" s="5">
        <v>63</v>
      </c>
      <c r="H335" s="5">
        <v>2.2999999999999998</v>
      </c>
      <c r="I335" s="5">
        <v>50</v>
      </c>
      <c r="J335" s="5">
        <v>1408.41</v>
      </c>
      <c r="K335" s="5">
        <v>75</v>
      </c>
      <c r="L335" s="5" t="s">
        <v>73</v>
      </c>
      <c r="M335" s="5" t="s">
        <v>28</v>
      </c>
      <c r="N335" s="5">
        <v>2</v>
      </c>
      <c r="O335" s="5" t="s">
        <v>836</v>
      </c>
      <c r="P335" s="5">
        <v>-35.08</v>
      </c>
    </row>
    <row r="336" spans="1:16" x14ac:dyDescent="0.5">
      <c r="A336" s="5" t="s">
        <v>709</v>
      </c>
      <c r="B336" s="8">
        <v>45370</v>
      </c>
      <c r="C336" s="6">
        <v>0.52916666666666667</v>
      </c>
      <c r="D336" s="5" t="s">
        <v>122</v>
      </c>
      <c r="E336" s="5" t="s">
        <v>93</v>
      </c>
      <c r="F336" s="5" t="s">
        <v>39</v>
      </c>
      <c r="G336" s="5">
        <v>45</v>
      </c>
      <c r="H336" s="5">
        <v>1.7</v>
      </c>
      <c r="I336" s="5">
        <v>34</v>
      </c>
      <c r="J336" s="5">
        <v>796.78</v>
      </c>
      <c r="K336" s="5">
        <v>100</v>
      </c>
      <c r="L336" s="5" t="s">
        <v>103</v>
      </c>
      <c r="M336" s="5" t="s">
        <v>42</v>
      </c>
      <c r="N336" s="5">
        <v>5</v>
      </c>
      <c r="O336" s="5" t="s">
        <v>836</v>
      </c>
      <c r="P336" s="5">
        <v>-37.19</v>
      </c>
    </row>
    <row r="337" spans="1:16" x14ac:dyDescent="0.5">
      <c r="A337" s="5" t="s">
        <v>710</v>
      </c>
      <c r="B337" s="8">
        <v>45386</v>
      </c>
      <c r="C337" s="6">
        <v>0.5</v>
      </c>
      <c r="D337" s="5" t="s">
        <v>866</v>
      </c>
      <c r="E337" s="5" t="s">
        <v>93</v>
      </c>
      <c r="F337" s="5" t="s">
        <v>25</v>
      </c>
      <c r="G337" s="5">
        <v>57</v>
      </c>
      <c r="H337" s="5">
        <v>2.5</v>
      </c>
      <c r="I337" s="5">
        <v>0</v>
      </c>
      <c r="J337" s="5">
        <v>333.85</v>
      </c>
      <c r="K337" s="5">
        <v>0.15</v>
      </c>
      <c r="L337" s="5" t="s">
        <v>68</v>
      </c>
      <c r="M337" s="5" t="s">
        <v>42</v>
      </c>
      <c r="N337" s="5">
        <v>8</v>
      </c>
      <c r="O337" s="5" t="s">
        <v>35</v>
      </c>
      <c r="P337" s="5">
        <v>78.430000000000007</v>
      </c>
    </row>
    <row r="338" spans="1:16" x14ac:dyDescent="0.5">
      <c r="A338" s="5" t="s">
        <v>711</v>
      </c>
      <c r="B338" s="8">
        <v>45541</v>
      </c>
      <c r="C338" s="6">
        <v>0.5</v>
      </c>
      <c r="D338" s="5" t="s">
        <v>620</v>
      </c>
      <c r="E338" s="5" t="s">
        <v>49</v>
      </c>
      <c r="F338" s="5" t="s">
        <v>67</v>
      </c>
      <c r="G338" s="5">
        <v>21</v>
      </c>
      <c r="H338" s="5">
        <v>1.7</v>
      </c>
      <c r="I338" s="5">
        <v>30</v>
      </c>
      <c r="J338" s="5">
        <v>1656.1</v>
      </c>
      <c r="K338" s="5">
        <v>50</v>
      </c>
      <c r="L338" s="5" t="s">
        <v>68</v>
      </c>
      <c r="M338" s="5" t="s">
        <v>28</v>
      </c>
      <c r="N338" s="5">
        <v>1</v>
      </c>
      <c r="O338" s="5" t="s">
        <v>83</v>
      </c>
      <c r="P338" s="5">
        <v>235.21</v>
      </c>
    </row>
    <row r="339" spans="1:16" x14ac:dyDescent="0.5">
      <c r="A339" s="5" t="s">
        <v>712</v>
      </c>
      <c r="B339" s="8">
        <v>45335</v>
      </c>
      <c r="C339" s="6">
        <v>0.14305555555555555</v>
      </c>
      <c r="D339" s="5" t="s">
        <v>839</v>
      </c>
      <c r="E339" s="5" t="s">
        <v>88</v>
      </c>
      <c r="F339" s="5" t="s">
        <v>61</v>
      </c>
      <c r="G339" s="5">
        <v>31</v>
      </c>
      <c r="H339" s="5">
        <v>4.8</v>
      </c>
      <c r="I339" s="5">
        <v>30</v>
      </c>
      <c r="J339" s="5">
        <v>1284.07</v>
      </c>
      <c r="K339" s="5">
        <v>100</v>
      </c>
      <c r="L339" s="5" t="s">
        <v>68</v>
      </c>
      <c r="M339" s="5" t="s">
        <v>28</v>
      </c>
      <c r="N339" s="5">
        <v>8</v>
      </c>
      <c r="O339" s="5" t="s">
        <v>51</v>
      </c>
      <c r="P339" s="5">
        <v>214.78</v>
      </c>
    </row>
    <row r="340" spans="1:16" x14ac:dyDescent="0.5">
      <c r="A340" s="5" t="s">
        <v>713</v>
      </c>
      <c r="B340" s="8">
        <v>45292</v>
      </c>
      <c r="C340" s="6">
        <v>0.5</v>
      </c>
      <c r="D340" s="5" t="s">
        <v>81</v>
      </c>
      <c r="E340" s="5" t="s">
        <v>146</v>
      </c>
      <c r="F340" s="5" t="s">
        <v>97</v>
      </c>
      <c r="G340" s="5">
        <v>53</v>
      </c>
      <c r="H340" s="5">
        <v>3.1</v>
      </c>
      <c r="I340" s="5">
        <v>16</v>
      </c>
      <c r="J340" s="5">
        <v>2053.3200000000002</v>
      </c>
      <c r="K340" s="5">
        <v>0</v>
      </c>
      <c r="L340" s="5" t="s">
        <v>73</v>
      </c>
      <c r="M340" s="5" t="s">
        <v>28</v>
      </c>
      <c r="N340" s="5">
        <v>9</v>
      </c>
      <c r="O340" s="5" t="s">
        <v>43</v>
      </c>
      <c r="P340" s="5">
        <v>211.99</v>
      </c>
    </row>
    <row r="341" spans="1:16" x14ac:dyDescent="0.5">
      <c r="A341" s="5" t="s">
        <v>715</v>
      </c>
      <c r="B341" s="8">
        <v>45381</v>
      </c>
      <c r="C341" s="6">
        <v>0.5</v>
      </c>
      <c r="D341" s="5" t="s">
        <v>31</v>
      </c>
      <c r="E341" s="5" t="s">
        <v>58</v>
      </c>
      <c r="F341" s="5" t="s">
        <v>39</v>
      </c>
      <c r="G341" s="5">
        <v>59</v>
      </c>
      <c r="H341" s="5">
        <v>3.3</v>
      </c>
      <c r="I341" s="5">
        <v>56</v>
      </c>
      <c r="J341" s="5">
        <v>380.56</v>
      </c>
      <c r="K341" s="5">
        <v>50</v>
      </c>
      <c r="L341" s="5" t="s">
        <v>68</v>
      </c>
      <c r="M341" s="5" t="s">
        <v>840</v>
      </c>
      <c r="N341" s="5">
        <v>10</v>
      </c>
      <c r="O341" s="5" t="s">
        <v>35</v>
      </c>
      <c r="P341" s="5">
        <v>113.67</v>
      </c>
    </row>
    <row r="342" spans="1:16" x14ac:dyDescent="0.5">
      <c r="A342" s="5" t="s">
        <v>718</v>
      </c>
      <c r="B342" s="8">
        <v>45486</v>
      </c>
      <c r="C342" s="6">
        <v>0.5</v>
      </c>
      <c r="D342" s="5" t="s">
        <v>66</v>
      </c>
      <c r="E342" s="5" t="s">
        <v>58</v>
      </c>
      <c r="F342" s="5" t="s">
        <v>33</v>
      </c>
      <c r="G342" s="5">
        <v>24</v>
      </c>
      <c r="H342" s="5">
        <v>4.0999999999999996</v>
      </c>
      <c r="I342" s="5">
        <v>20</v>
      </c>
      <c r="J342" s="5">
        <v>796.99</v>
      </c>
      <c r="K342" s="5">
        <v>150</v>
      </c>
      <c r="L342" s="5" t="s">
        <v>103</v>
      </c>
      <c r="M342" s="5" t="s">
        <v>59</v>
      </c>
      <c r="N342" s="5">
        <v>3</v>
      </c>
      <c r="O342" s="5" t="s">
        <v>21</v>
      </c>
      <c r="P342" s="5">
        <v>151.21</v>
      </c>
    </row>
    <row r="343" spans="1:16" x14ac:dyDescent="0.5">
      <c r="A343" s="5" t="s">
        <v>724</v>
      </c>
      <c r="B343" s="8">
        <v>45385</v>
      </c>
      <c r="C343" s="6">
        <v>0.5</v>
      </c>
      <c r="D343" s="5" t="s">
        <v>867</v>
      </c>
      <c r="E343" s="5" t="s">
        <v>17</v>
      </c>
      <c r="F343" s="5" t="s">
        <v>18</v>
      </c>
      <c r="G343" s="5">
        <v>44</v>
      </c>
      <c r="H343" s="5">
        <v>1.4</v>
      </c>
      <c r="I343" s="5">
        <v>26</v>
      </c>
      <c r="J343" s="5">
        <v>1283.78</v>
      </c>
      <c r="K343" s="5">
        <v>0</v>
      </c>
      <c r="L343" s="5" t="s">
        <v>834</v>
      </c>
      <c r="M343" s="5" t="s">
        <v>28</v>
      </c>
      <c r="N343" s="5">
        <v>2</v>
      </c>
      <c r="O343" s="5" t="s">
        <v>83</v>
      </c>
      <c r="P343" s="5">
        <v>0</v>
      </c>
    </row>
    <row r="344" spans="1:16" x14ac:dyDescent="0.5">
      <c r="A344" s="5" t="s">
        <v>726</v>
      </c>
      <c r="B344" s="8">
        <v>45403</v>
      </c>
      <c r="C344" s="6">
        <v>0.5</v>
      </c>
      <c r="D344" s="5" t="s">
        <v>122</v>
      </c>
      <c r="E344" s="5" t="s">
        <v>838</v>
      </c>
      <c r="F344" s="5" t="s">
        <v>101</v>
      </c>
      <c r="G344" s="5">
        <v>55</v>
      </c>
      <c r="H344" s="5">
        <v>0</v>
      </c>
      <c r="I344" s="5">
        <v>22</v>
      </c>
      <c r="J344" s="5">
        <v>240.37</v>
      </c>
      <c r="K344" s="5">
        <v>0</v>
      </c>
      <c r="L344" s="5" t="s">
        <v>840</v>
      </c>
      <c r="M344" s="5" t="s">
        <v>59</v>
      </c>
      <c r="N344" s="5">
        <v>2</v>
      </c>
      <c r="O344" s="5" t="s">
        <v>836</v>
      </c>
      <c r="P344" s="5">
        <v>153.47999999999999</v>
      </c>
    </row>
    <row r="345" spans="1:16" x14ac:dyDescent="0.5">
      <c r="A345" s="5" t="s">
        <v>739</v>
      </c>
      <c r="B345" s="8">
        <v>45377</v>
      </c>
      <c r="C345" s="6">
        <v>0.5</v>
      </c>
      <c r="D345" s="5" t="s">
        <v>839</v>
      </c>
      <c r="E345" s="5" t="s">
        <v>93</v>
      </c>
      <c r="F345" s="5" t="s">
        <v>25</v>
      </c>
      <c r="G345" s="5">
        <v>22</v>
      </c>
      <c r="H345" s="5">
        <v>4</v>
      </c>
      <c r="I345" s="5">
        <v>23</v>
      </c>
      <c r="J345" s="5">
        <v>1958.31</v>
      </c>
      <c r="K345" s="5">
        <v>0.6</v>
      </c>
      <c r="L345" s="5" t="s">
        <v>103</v>
      </c>
      <c r="M345" s="5" t="s">
        <v>28</v>
      </c>
      <c r="N345" s="5">
        <v>2</v>
      </c>
      <c r="O345" s="5" t="s">
        <v>83</v>
      </c>
      <c r="P345" s="5">
        <v>90.6</v>
      </c>
    </row>
    <row r="346" spans="1:16" x14ac:dyDescent="0.5">
      <c r="A346" s="5" t="s">
        <v>741</v>
      </c>
      <c r="B346" s="8">
        <v>45451</v>
      </c>
      <c r="C346" s="6">
        <v>0.5</v>
      </c>
      <c r="D346" s="5" t="s">
        <v>112</v>
      </c>
      <c r="E346" s="5" t="s">
        <v>146</v>
      </c>
      <c r="F346" s="5" t="s">
        <v>55</v>
      </c>
      <c r="G346" s="5">
        <v>54</v>
      </c>
      <c r="H346" s="5">
        <v>4.5999999999999996</v>
      </c>
      <c r="I346" s="5">
        <v>36</v>
      </c>
      <c r="J346" s="5">
        <v>1520.28</v>
      </c>
      <c r="K346" s="5">
        <v>0</v>
      </c>
      <c r="L346" s="5" t="s">
        <v>834</v>
      </c>
      <c r="M346" s="5" t="s">
        <v>42</v>
      </c>
      <c r="N346" s="5">
        <v>6</v>
      </c>
      <c r="O346" s="5" t="s">
        <v>35</v>
      </c>
      <c r="P346" s="5">
        <v>149.27000000000001</v>
      </c>
    </row>
    <row r="347" spans="1:16" x14ac:dyDescent="0.5">
      <c r="A347" s="5" t="s">
        <v>743</v>
      </c>
      <c r="B347" s="8">
        <v>45466</v>
      </c>
      <c r="C347" s="6">
        <v>0.5</v>
      </c>
      <c r="D347" s="5" t="s">
        <v>122</v>
      </c>
      <c r="E347" s="5" t="s">
        <v>38</v>
      </c>
      <c r="F347" s="5" t="s">
        <v>97</v>
      </c>
      <c r="G347" s="5">
        <v>49</v>
      </c>
      <c r="H347" s="5">
        <v>0</v>
      </c>
      <c r="I347" s="5">
        <v>0</v>
      </c>
      <c r="J347" s="5">
        <v>1681.43</v>
      </c>
      <c r="K347" s="5">
        <v>75</v>
      </c>
      <c r="L347" s="5" t="s">
        <v>103</v>
      </c>
      <c r="M347" s="5" t="s">
        <v>28</v>
      </c>
      <c r="N347" s="5">
        <v>9</v>
      </c>
      <c r="O347" s="5" t="s">
        <v>51</v>
      </c>
      <c r="P347" s="5">
        <v>-63.5</v>
      </c>
    </row>
    <row r="348" spans="1:16" x14ac:dyDescent="0.5">
      <c r="A348" s="5" t="s">
        <v>746</v>
      </c>
      <c r="B348" s="8">
        <v>45361</v>
      </c>
      <c r="C348" s="6">
        <v>0.5</v>
      </c>
      <c r="D348" s="5" t="s">
        <v>31</v>
      </c>
      <c r="E348" s="5" t="s">
        <v>93</v>
      </c>
      <c r="F348" s="5" t="s">
        <v>25</v>
      </c>
      <c r="G348" s="5">
        <v>32</v>
      </c>
      <c r="H348" s="5">
        <v>3.8</v>
      </c>
      <c r="I348" s="5">
        <v>21</v>
      </c>
      <c r="J348" s="5">
        <v>1217.67</v>
      </c>
      <c r="K348" s="5">
        <v>50</v>
      </c>
      <c r="L348" s="5" t="s">
        <v>73</v>
      </c>
      <c r="M348" s="5" t="s">
        <v>42</v>
      </c>
      <c r="N348" s="5">
        <v>9</v>
      </c>
      <c r="O348" s="5" t="s">
        <v>83</v>
      </c>
      <c r="P348" s="5">
        <v>168.3</v>
      </c>
    </row>
    <row r="349" spans="1:16" x14ac:dyDescent="0.5">
      <c r="A349" s="5" t="s">
        <v>749</v>
      </c>
      <c r="B349" s="8">
        <v>45355</v>
      </c>
      <c r="C349" s="6">
        <v>0.5</v>
      </c>
      <c r="D349" s="5" t="s">
        <v>31</v>
      </c>
      <c r="E349" s="5" t="s">
        <v>58</v>
      </c>
      <c r="F349" s="5" t="s">
        <v>101</v>
      </c>
      <c r="G349" s="5">
        <v>18</v>
      </c>
      <c r="H349" s="5">
        <v>0</v>
      </c>
      <c r="I349" s="5">
        <v>28</v>
      </c>
      <c r="J349" s="5">
        <v>1344.99</v>
      </c>
      <c r="K349" s="5">
        <v>0.5</v>
      </c>
      <c r="L349" s="5" t="s">
        <v>103</v>
      </c>
      <c r="M349" s="5" t="s">
        <v>59</v>
      </c>
      <c r="N349" s="5">
        <v>6</v>
      </c>
      <c r="O349" s="5" t="s">
        <v>83</v>
      </c>
      <c r="P349" s="5">
        <v>95.47</v>
      </c>
    </row>
    <row r="350" spans="1:16" x14ac:dyDescent="0.5">
      <c r="A350" s="5" t="s">
        <v>750</v>
      </c>
      <c r="B350" s="8">
        <v>45413</v>
      </c>
      <c r="C350" s="6">
        <v>0.35694444444444445</v>
      </c>
      <c r="D350" s="5" t="s">
        <v>233</v>
      </c>
      <c r="E350" s="5" t="s">
        <v>38</v>
      </c>
      <c r="F350" s="5" t="s">
        <v>67</v>
      </c>
      <c r="G350" s="5">
        <v>42</v>
      </c>
      <c r="H350" s="5">
        <v>3.3</v>
      </c>
      <c r="I350" s="5">
        <v>80</v>
      </c>
      <c r="J350" s="5">
        <v>1967.86</v>
      </c>
      <c r="K350" s="5">
        <v>120</v>
      </c>
      <c r="L350" s="5" t="s">
        <v>834</v>
      </c>
      <c r="M350" s="5" t="s">
        <v>42</v>
      </c>
      <c r="N350" s="5">
        <v>3</v>
      </c>
      <c r="O350" s="5" t="s">
        <v>83</v>
      </c>
      <c r="P350" s="5">
        <v>-50.45</v>
      </c>
    </row>
    <row r="351" spans="1:16" x14ac:dyDescent="0.5">
      <c r="A351" s="5" t="s">
        <v>751</v>
      </c>
      <c r="B351" s="8">
        <v>45389</v>
      </c>
      <c r="C351" s="6">
        <v>0.5</v>
      </c>
      <c r="D351" s="5" t="s">
        <v>136</v>
      </c>
      <c r="E351" s="5" t="s">
        <v>49</v>
      </c>
      <c r="F351" s="5" t="s">
        <v>33</v>
      </c>
      <c r="G351" s="5">
        <v>43</v>
      </c>
      <c r="H351" s="5">
        <v>1.6</v>
      </c>
      <c r="I351" s="5">
        <v>41</v>
      </c>
      <c r="J351" s="5">
        <v>2460.5</v>
      </c>
      <c r="K351" s="5">
        <v>0</v>
      </c>
      <c r="L351" s="5" t="s">
        <v>27</v>
      </c>
      <c r="M351" s="5" t="s">
        <v>28</v>
      </c>
      <c r="N351" s="5">
        <v>3</v>
      </c>
      <c r="O351" s="5" t="s">
        <v>840</v>
      </c>
      <c r="P351" s="5">
        <v>148.25</v>
      </c>
    </row>
    <row r="352" spans="1:16" x14ac:dyDescent="0.5">
      <c r="A352" s="5" t="s">
        <v>752</v>
      </c>
      <c r="B352" s="8">
        <v>45299</v>
      </c>
      <c r="C352" s="6">
        <v>0.5</v>
      </c>
      <c r="D352" s="5" t="s">
        <v>122</v>
      </c>
      <c r="E352" s="5" t="s">
        <v>71</v>
      </c>
      <c r="F352" s="5" t="s">
        <v>25</v>
      </c>
      <c r="G352" s="5">
        <v>33</v>
      </c>
      <c r="H352" s="5">
        <v>2.2000000000000002</v>
      </c>
      <c r="I352" s="5">
        <v>46</v>
      </c>
      <c r="J352" s="5">
        <v>1645.94</v>
      </c>
      <c r="K352" s="5">
        <v>0</v>
      </c>
      <c r="L352" s="5" t="s">
        <v>837</v>
      </c>
      <c r="M352" s="5" t="s">
        <v>28</v>
      </c>
      <c r="N352" s="5">
        <v>10</v>
      </c>
      <c r="O352" s="5" t="s">
        <v>83</v>
      </c>
      <c r="P352" s="5">
        <v>-68.489999999999995</v>
      </c>
    </row>
    <row r="353" spans="1:16" x14ac:dyDescent="0.5">
      <c r="A353" s="5" t="s">
        <v>761</v>
      </c>
      <c r="B353" s="8">
        <v>45357</v>
      </c>
      <c r="C353" s="6">
        <v>0.5</v>
      </c>
      <c r="D353" s="5" t="s">
        <v>122</v>
      </c>
      <c r="E353" s="5" t="s">
        <v>54</v>
      </c>
      <c r="F353" s="5" t="s">
        <v>97</v>
      </c>
      <c r="G353" s="5">
        <v>20</v>
      </c>
      <c r="H353" s="5">
        <v>4.0999999999999996</v>
      </c>
      <c r="I353" s="5">
        <v>69</v>
      </c>
      <c r="J353" s="5">
        <v>1495.59</v>
      </c>
      <c r="K353" s="5">
        <v>100</v>
      </c>
      <c r="L353" s="5" t="s">
        <v>834</v>
      </c>
      <c r="M353" s="5" t="s">
        <v>28</v>
      </c>
      <c r="N353" s="5">
        <v>6</v>
      </c>
      <c r="O353" s="5" t="s">
        <v>43</v>
      </c>
      <c r="P353" s="5">
        <v>-23.35</v>
      </c>
    </row>
    <row r="354" spans="1:16" x14ac:dyDescent="0.5">
      <c r="A354" s="5" t="s">
        <v>763</v>
      </c>
      <c r="B354" s="8">
        <v>45337</v>
      </c>
      <c r="C354" s="6">
        <v>0.5</v>
      </c>
      <c r="D354" s="5" t="s">
        <v>37</v>
      </c>
      <c r="E354" s="5" t="s">
        <v>17</v>
      </c>
      <c r="F354" s="5" t="s">
        <v>18</v>
      </c>
      <c r="G354" s="5">
        <v>26</v>
      </c>
      <c r="H354" s="5">
        <v>1.3</v>
      </c>
      <c r="I354" s="5">
        <v>62</v>
      </c>
      <c r="J354" s="5">
        <v>134.87</v>
      </c>
      <c r="K354" s="5">
        <v>120</v>
      </c>
      <c r="L354" s="5" t="s">
        <v>27</v>
      </c>
      <c r="M354" s="5" t="s">
        <v>42</v>
      </c>
      <c r="N354" s="5">
        <v>2</v>
      </c>
      <c r="O354" s="5" t="s">
        <v>836</v>
      </c>
      <c r="P354" s="5">
        <v>-53.31</v>
      </c>
    </row>
    <row r="355" spans="1:16" x14ac:dyDescent="0.5">
      <c r="A355" s="5" t="s">
        <v>765</v>
      </c>
      <c r="B355" s="8">
        <v>45404</v>
      </c>
      <c r="C355" s="6">
        <v>0.5</v>
      </c>
      <c r="D355" s="5" t="s">
        <v>136</v>
      </c>
      <c r="E355" s="5" t="s">
        <v>71</v>
      </c>
      <c r="F355" s="5" t="s">
        <v>67</v>
      </c>
      <c r="G355" s="5">
        <v>50</v>
      </c>
      <c r="H355" s="5">
        <v>2.2000000000000002</v>
      </c>
      <c r="I355" s="5">
        <v>52</v>
      </c>
      <c r="J355" s="5">
        <v>660.27</v>
      </c>
      <c r="K355" s="5">
        <v>120</v>
      </c>
      <c r="L355" s="5" t="s">
        <v>837</v>
      </c>
      <c r="M355" s="5" t="s">
        <v>28</v>
      </c>
      <c r="N355" s="5">
        <v>8</v>
      </c>
      <c r="O355" s="5" t="s">
        <v>21</v>
      </c>
      <c r="P355" s="5">
        <v>236.58</v>
      </c>
    </row>
    <row r="356" spans="1:16" x14ac:dyDescent="0.5">
      <c r="A356" s="5" t="s">
        <v>766</v>
      </c>
      <c r="B356" s="8">
        <v>45413</v>
      </c>
      <c r="C356" s="6">
        <v>0.5</v>
      </c>
      <c r="D356" s="5" t="s">
        <v>37</v>
      </c>
      <c r="E356" s="5" t="s">
        <v>54</v>
      </c>
      <c r="F356" s="5" t="s">
        <v>78</v>
      </c>
      <c r="G356" s="5">
        <v>31</v>
      </c>
      <c r="H356" s="5">
        <v>4.0999999999999996</v>
      </c>
      <c r="I356" s="5">
        <v>71</v>
      </c>
      <c r="J356" s="5">
        <v>729.36</v>
      </c>
      <c r="K356" s="5">
        <v>75</v>
      </c>
      <c r="L356" s="5" t="s">
        <v>68</v>
      </c>
      <c r="M356" s="5" t="s">
        <v>28</v>
      </c>
      <c r="N356" s="5">
        <v>10</v>
      </c>
      <c r="O356" s="5" t="s">
        <v>51</v>
      </c>
      <c r="P356" s="5">
        <v>2.95</v>
      </c>
    </row>
    <row r="357" spans="1:16" x14ac:dyDescent="0.5">
      <c r="A357" s="5" t="s">
        <v>768</v>
      </c>
      <c r="B357" s="8">
        <v>45421</v>
      </c>
      <c r="C357" s="6">
        <v>0.5</v>
      </c>
      <c r="D357" s="5" t="s">
        <v>843</v>
      </c>
      <c r="E357" s="5" t="s">
        <v>38</v>
      </c>
      <c r="F357" s="5" t="s">
        <v>55</v>
      </c>
      <c r="G357" s="5">
        <v>0</v>
      </c>
      <c r="H357" s="5">
        <v>2.5</v>
      </c>
      <c r="I357" s="5">
        <v>67</v>
      </c>
      <c r="J357" s="5">
        <v>2309.4</v>
      </c>
      <c r="K357" s="5">
        <v>150</v>
      </c>
      <c r="L357" s="5" t="s">
        <v>68</v>
      </c>
      <c r="M357" s="5" t="s">
        <v>42</v>
      </c>
      <c r="N357" s="5">
        <v>10</v>
      </c>
      <c r="O357" s="5" t="s">
        <v>83</v>
      </c>
      <c r="P357" s="5">
        <v>-27.89</v>
      </c>
    </row>
    <row r="358" spans="1:16" x14ac:dyDescent="0.5">
      <c r="A358" s="5" t="s">
        <v>769</v>
      </c>
      <c r="B358" s="8">
        <v>45312</v>
      </c>
      <c r="C358" s="6">
        <v>0.5</v>
      </c>
      <c r="D358" s="5" t="s">
        <v>66</v>
      </c>
      <c r="E358" s="5" t="s">
        <v>146</v>
      </c>
      <c r="F358" s="5" t="s">
        <v>770</v>
      </c>
      <c r="G358" s="5">
        <v>46</v>
      </c>
      <c r="H358" s="5">
        <v>4.4000000000000004</v>
      </c>
      <c r="I358" s="5">
        <v>21</v>
      </c>
      <c r="J358" s="5">
        <v>2335.19</v>
      </c>
      <c r="K358" s="5">
        <v>75</v>
      </c>
      <c r="L358" s="5" t="s">
        <v>840</v>
      </c>
      <c r="M358" s="5" t="s">
        <v>42</v>
      </c>
      <c r="N358" s="5">
        <v>7</v>
      </c>
      <c r="O358" s="5" t="s">
        <v>83</v>
      </c>
      <c r="P358" s="5">
        <v>240.05</v>
      </c>
    </row>
    <row r="359" spans="1:16" x14ac:dyDescent="0.5">
      <c r="A359" s="5" t="s">
        <v>845</v>
      </c>
      <c r="B359" s="8">
        <v>45468</v>
      </c>
      <c r="C359" s="6">
        <v>0.5</v>
      </c>
      <c r="D359" s="5" t="s">
        <v>23</v>
      </c>
      <c r="E359" s="5" t="s">
        <v>88</v>
      </c>
      <c r="F359" s="5" t="s">
        <v>97</v>
      </c>
      <c r="G359" s="5">
        <v>59</v>
      </c>
      <c r="H359" s="5">
        <v>3.5</v>
      </c>
      <c r="I359" s="5">
        <v>60</v>
      </c>
      <c r="J359" s="5">
        <v>943.74</v>
      </c>
      <c r="K359" s="5">
        <v>150</v>
      </c>
      <c r="L359" s="5" t="s">
        <v>103</v>
      </c>
      <c r="M359" s="5" t="s">
        <v>28</v>
      </c>
      <c r="N359" s="5">
        <v>10</v>
      </c>
      <c r="O359" s="5" t="s">
        <v>840</v>
      </c>
      <c r="P359" s="5">
        <v>-73.66</v>
      </c>
    </row>
    <row r="360" spans="1:16" x14ac:dyDescent="0.5">
      <c r="A360" s="5" t="s">
        <v>771</v>
      </c>
      <c r="B360" s="8">
        <v>45432</v>
      </c>
      <c r="C360" s="6">
        <v>0.5</v>
      </c>
      <c r="D360" s="5" t="s">
        <v>620</v>
      </c>
      <c r="E360" s="5" t="s">
        <v>58</v>
      </c>
      <c r="F360" s="5" t="s">
        <v>33</v>
      </c>
      <c r="G360" s="5">
        <v>36</v>
      </c>
      <c r="H360" s="5">
        <v>3.8</v>
      </c>
      <c r="I360" s="5">
        <v>43</v>
      </c>
      <c r="J360" s="5">
        <v>168.82</v>
      </c>
      <c r="K360" s="5">
        <v>50</v>
      </c>
      <c r="L360" s="5" t="s">
        <v>73</v>
      </c>
      <c r="M360" s="5" t="s">
        <v>28</v>
      </c>
      <c r="N360" s="5">
        <v>5</v>
      </c>
      <c r="O360" s="5" t="s">
        <v>35</v>
      </c>
      <c r="P360" s="5">
        <v>-45.1</v>
      </c>
    </row>
    <row r="361" spans="1:16" x14ac:dyDescent="0.5">
      <c r="A361" s="5" t="s">
        <v>772</v>
      </c>
      <c r="B361" s="8">
        <v>45339</v>
      </c>
      <c r="C361" s="6">
        <v>0.5</v>
      </c>
      <c r="D361" s="5" t="s">
        <v>31</v>
      </c>
      <c r="E361" s="5" t="s">
        <v>284</v>
      </c>
      <c r="F361" s="5" t="s">
        <v>39</v>
      </c>
      <c r="G361" s="5">
        <v>0</v>
      </c>
      <c r="H361" s="5">
        <v>3.5</v>
      </c>
      <c r="I361" s="5">
        <v>67</v>
      </c>
      <c r="J361" s="5">
        <v>1334.84</v>
      </c>
      <c r="K361" s="5">
        <v>0.1</v>
      </c>
      <c r="L361" s="5" t="s">
        <v>834</v>
      </c>
      <c r="M361" s="5" t="s">
        <v>28</v>
      </c>
      <c r="N361" s="5">
        <v>8</v>
      </c>
      <c r="O361" s="5" t="s">
        <v>83</v>
      </c>
      <c r="P361" s="5">
        <v>103.64</v>
      </c>
    </row>
    <row r="362" spans="1:16" x14ac:dyDescent="0.5">
      <c r="A362" s="5" t="s">
        <v>773</v>
      </c>
      <c r="B362" s="8">
        <v>45339</v>
      </c>
      <c r="C362" s="6">
        <v>0.5</v>
      </c>
      <c r="D362" s="5" t="s">
        <v>31</v>
      </c>
      <c r="E362" s="5" t="s">
        <v>58</v>
      </c>
      <c r="F362" s="5" t="s">
        <v>39</v>
      </c>
      <c r="G362" s="5">
        <v>22</v>
      </c>
      <c r="H362" s="5">
        <v>4.9000000000000004</v>
      </c>
      <c r="I362" s="5">
        <v>31</v>
      </c>
      <c r="J362" s="5">
        <v>122.61</v>
      </c>
      <c r="K362" s="5">
        <v>0</v>
      </c>
      <c r="L362" s="5" t="s">
        <v>73</v>
      </c>
      <c r="M362" s="5" t="s">
        <v>28</v>
      </c>
      <c r="N362" s="5">
        <v>2</v>
      </c>
      <c r="O362" s="5" t="s">
        <v>836</v>
      </c>
      <c r="P362" s="5">
        <v>-23.6</v>
      </c>
    </row>
    <row r="363" spans="1:16" x14ac:dyDescent="0.5">
      <c r="A363" s="5" t="s">
        <v>774</v>
      </c>
      <c r="B363" s="8">
        <v>45425</v>
      </c>
      <c r="C363" s="6">
        <v>0.5</v>
      </c>
      <c r="D363" s="5" t="s">
        <v>843</v>
      </c>
      <c r="E363" s="5" t="s">
        <v>38</v>
      </c>
      <c r="F363" s="5" t="s">
        <v>18</v>
      </c>
      <c r="G363" s="5">
        <v>64</v>
      </c>
      <c r="H363" s="5">
        <v>2.2999999999999998</v>
      </c>
      <c r="I363" s="5">
        <v>75</v>
      </c>
      <c r="J363" s="5">
        <v>518.6</v>
      </c>
      <c r="K363" s="5">
        <v>0.6</v>
      </c>
      <c r="L363" s="5" t="s">
        <v>834</v>
      </c>
      <c r="M363" s="5" t="s">
        <v>42</v>
      </c>
      <c r="N363" s="5">
        <v>4</v>
      </c>
      <c r="O363" s="5" t="s">
        <v>21</v>
      </c>
      <c r="P363" s="5">
        <v>231.06</v>
      </c>
    </row>
    <row r="364" spans="1:16" x14ac:dyDescent="0.5">
      <c r="A364" s="5" t="s">
        <v>775</v>
      </c>
      <c r="B364" s="8">
        <v>45570</v>
      </c>
      <c r="C364" s="6">
        <v>0.5</v>
      </c>
      <c r="D364" s="5" t="s">
        <v>23</v>
      </c>
      <c r="E364" s="5" t="s">
        <v>24</v>
      </c>
      <c r="F364" s="5" t="s">
        <v>18</v>
      </c>
      <c r="G364" s="5">
        <v>32</v>
      </c>
      <c r="H364" s="5">
        <v>4.8</v>
      </c>
      <c r="I364" s="5">
        <v>20</v>
      </c>
      <c r="J364" s="5">
        <v>780.27</v>
      </c>
      <c r="K364" s="5">
        <v>0.15</v>
      </c>
      <c r="L364" s="5" t="s">
        <v>27</v>
      </c>
      <c r="M364" s="5" t="s">
        <v>28</v>
      </c>
      <c r="N364" s="5">
        <v>10</v>
      </c>
      <c r="O364" s="5" t="s">
        <v>51</v>
      </c>
      <c r="P364" s="5">
        <v>142.13</v>
      </c>
    </row>
    <row r="365" spans="1:16" x14ac:dyDescent="0.5">
      <c r="A365" s="5" t="s">
        <v>776</v>
      </c>
      <c r="B365" s="8">
        <v>45454</v>
      </c>
      <c r="C365" s="6">
        <v>0.5</v>
      </c>
      <c r="D365" s="5" t="s">
        <v>23</v>
      </c>
      <c r="E365" s="5" t="s">
        <v>24</v>
      </c>
      <c r="F365" s="5" t="s">
        <v>97</v>
      </c>
      <c r="G365" s="5">
        <v>26</v>
      </c>
      <c r="H365" s="5">
        <v>2.7</v>
      </c>
      <c r="I365" s="5">
        <v>67</v>
      </c>
      <c r="J365" s="5">
        <v>723.25</v>
      </c>
      <c r="K365" s="5">
        <v>0</v>
      </c>
      <c r="L365" s="5" t="s">
        <v>73</v>
      </c>
      <c r="M365" s="5" t="s">
        <v>28</v>
      </c>
      <c r="N365" s="5">
        <v>2</v>
      </c>
      <c r="O365" s="5" t="s">
        <v>51</v>
      </c>
      <c r="P365" s="5">
        <v>0</v>
      </c>
    </row>
    <row r="366" spans="1:16" x14ac:dyDescent="0.5">
      <c r="A366" s="5" t="s">
        <v>778</v>
      </c>
      <c r="B366" s="8">
        <v>45398</v>
      </c>
      <c r="C366" s="6">
        <v>0.5</v>
      </c>
      <c r="D366" s="5" t="s">
        <v>112</v>
      </c>
      <c r="E366" s="5" t="s">
        <v>146</v>
      </c>
      <c r="F366" s="5" t="s">
        <v>18</v>
      </c>
      <c r="G366" s="5">
        <v>65</v>
      </c>
      <c r="H366" s="5">
        <v>2.1</v>
      </c>
      <c r="I366" s="5">
        <v>65</v>
      </c>
      <c r="J366" s="5">
        <v>506.04</v>
      </c>
      <c r="K366" s="5">
        <v>50</v>
      </c>
      <c r="L366" s="5" t="s">
        <v>834</v>
      </c>
      <c r="M366" s="5" t="s">
        <v>28</v>
      </c>
      <c r="N366" s="5">
        <v>7</v>
      </c>
      <c r="O366" s="5" t="s">
        <v>43</v>
      </c>
      <c r="P366" s="5">
        <v>214.01</v>
      </c>
    </row>
    <row r="367" spans="1:16" x14ac:dyDescent="0.5">
      <c r="A367" s="5" t="s">
        <v>780</v>
      </c>
      <c r="B367" s="8">
        <v>45330</v>
      </c>
      <c r="C367" s="6">
        <v>0.14374999999999999</v>
      </c>
      <c r="D367" s="5" t="s">
        <v>37</v>
      </c>
      <c r="E367" s="5" t="s">
        <v>146</v>
      </c>
      <c r="F367" s="5" t="s">
        <v>55</v>
      </c>
      <c r="G367" s="5">
        <v>23</v>
      </c>
      <c r="H367" s="5">
        <v>3.3</v>
      </c>
      <c r="I367" s="5">
        <v>43</v>
      </c>
      <c r="J367" s="5">
        <v>598.41</v>
      </c>
      <c r="K367" s="5">
        <v>0.15</v>
      </c>
      <c r="L367" s="5" t="s">
        <v>27</v>
      </c>
      <c r="M367" s="5" t="s">
        <v>42</v>
      </c>
      <c r="N367" s="5">
        <v>4</v>
      </c>
      <c r="O367" s="5" t="s">
        <v>35</v>
      </c>
      <c r="P367" s="5">
        <v>0</v>
      </c>
    </row>
    <row r="368" spans="1:16" x14ac:dyDescent="0.5">
      <c r="A368" s="5" t="s">
        <v>781</v>
      </c>
      <c r="B368" s="8">
        <v>45472</v>
      </c>
      <c r="C368" s="6">
        <v>0.5</v>
      </c>
      <c r="D368" s="5" t="s">
        <v>37</v>
      </c>
      <c r="E368" s="5" t="s">
        <v>54</v>
      </c>
      <c r="F368" s="5" t="s">
        <v>78</v>
      </c>
      <c r="G368" s="5">
        <v>63</v>
      </c>
      <c r="H368" s="5">
        <v>4.2</v>
      </c>
      <c r="I368" s="5">
        <v>57</v>
      </c>
      <c r="J368" s="5">
        <v>2373.83</v>
      </c>
      <c r="K368" s="5">
        <v>0.2</v>
      </c>
      <c r="L368" s="5" t="s">
        <v>103</v>
      </c>
      <c r="M368" s="5" t="s">
        <v>28</v>
      </c>
      <c r="N368" s="5">
        <v>7</v>
      </c>
      <c r="O368" s="5" t="s">
        <v>35</v>
      </c>
      <c r="P368" s="5">
        <v>-21.56</v>
      </c>
    </row>
    <row r="369" spans="1:16" x14ac:dyDescent="0.5">
      <c r="A369" s="5" t="s">
        <v>783</v>
      </c>
      <c r="B369" s="8">
        <v>45371</v>
      </c>
      <c r="C369" s="6">
        <v>0.3034722222222222</v>
      </c>
      <c r="D369" s="5" t="s">
        <v>46</v>
      </c>
      <c r="E369" s="5" t="s">
        <v>284</v>
      </c>
      <c r="F369" s="5" t="s">
        <v>18</v>
      </c>
      <c r="G369" s="5">
        <v>40</v>
      </c>
      <c r="H369" s="5">
        <v>1.6</v>
      </c>
      <c r="I369" s="5">
        <v>38</v>
      </c>
      <c r="J369" s="5">
        <v>1857.14</v>
      </c>
      <c r="K369" s="5">
        <v>120</v>
      </c>
      <c r="L369" s="5" t="s">
        <v>73</v>
      </c>
      <c r="M369" s="5" t="s">
        <v>59</v>
      </c>
      <c r="N369" s="5">
        <v>9</v>
      </c>
      <c r="O369" s="5" t="s">
        <v>43</v>
      </c>
      <c r="P369" s="5">
        <v>134.66</v>
      </c>
    </row>
    <row r="370" spans="1:16" x14ac:dyDescent="0.5">
      <c r="A370" s="5" t="s">
        <v>784</v>
      </c>
      <c r="B370" s="8">
        <v>45456</v>
      </c>
      <c r="C370" s="6">
        <v>0.5</v>
      </c>
      <c r="D370" s="5" t="s">
        <v>843</v>
      </c>
      <c r="E370" s="5" t="s">
        <v>88</v>
      </c>
      <c r="F370" s="5" t="s">
        <v>33</v>
      </c>
      <c r="G370" s="5">
        <v>43</v>
      </c>
      <c r="H370" s="5">
        <v>2.6</v>
      </c>
      <c r="I370" s="5">
        <v>15</v>
      </c>
      <c r="J370" s="5">
        <v>385.31</v>
      </c>
      <c r="K370" s="5">
        <v>0</v>
      </c>
      <c r="L370" s="5" t="s">
        <v>27</v>
      </c>
      <c r="M370" s="5" t="s">
        <v>28</v>
      </c>
      <c r="N370" s="5">
        <v>9</v>
      </c>
      <c r="O370" s="5" t="s">
        <v>836</v>
      </c>
      <c r="P370" s="5">
        <v>223.86</v>
      </c>
    </row>
    <row r="371" spans="1:16" x14ac:dyDescent="0.5">
      <c r="A371" s="5" t="s">
        <v>786</v>
      </c>
      <c r="B371" s="8">
        <v>45308</v>
      </c>
      <c r="C371" s="6">
        <v>0.5</v>
      </c>
      <c r="D371" s="5" t="s">
        <v>865</v>
      </c>
      <c r="E371" s="5" t="s">
        <v>54</v>
      </c>
      <c r="F371" s="5" t="s">
        <v>25</v>
      </c>
      <c r="G371" s="5">
        <v>28</v>
      </c>
      <c r="H371" s="5">
        <v>1.8</v>
      </c>
      <c r="I371" s="5">
        <v>54</v>
      </c>
      <c r="J371" s="5">
        <v>943.15</v>
      </c>
      <c r="K371" s="5">
        <v>100</v>
      </c>
      <c r="L371" s="5" t="s">
        <v>68</v>
      </c>
      <c r="M371" s="5" t="s">
        <v>42</v>
      </c>
      <c r="N371" s="5">
        <v>4</v>
      </c>
      <c r="O371" s="5" t="s">
        <v>83</v>
      </c>
      <c r="P371" s="5">
        <v>123.07</v>
      </c>
    </row>
    <row r="372" spans="1:16" x14ac:dyDescent="0.5">
      <c r="A372" s="5" t="s">
        <v>788</v>
      </c>
      <c r="B372" s="8">
        <v>45352</v>
      </c>
      <c r="C372" s="6">
        <v>0.5</v>
      </c>
      <c r="D372" s="5" t="s">
        <v>112</v>
      </c>
      <c r="E372" s="5" t="s">
        <v>88</v>
      </c>
      <c r="F372" s="5" t="s">
        <v>67</v>
      </c>
      <c r="G372" s="5">
        <v>40</v>
      </c>
      <c r="H372" s="5">
        <v>1.9</v>
      </c>
      <c r="I372" s="5">
        <v>79</v>
      </c>
      <c r="J372" s="5">
        <v>0</v>
      </c>
      <c r="K372" s="5">
        <v>0.1</v>
      </c>
      <c r="L372" s="5" t="s">
        <v>103</v>
      </c>
      <c r="M372" s="5" t="s">
        <v>42</v>
      </c>
      <c r="N372" s="5">
        <v>9</v>
      </c>
      <c r="O372" s="5" t="s">
        <v>35</v>
      </c>
      <c r="P372" s="5">
        <v>0</v>
      </c>
    </row>
    <row r="373" spans="1:16" x14ac:dyDescent="0.5">
      <c r="A373" s="5" t="s">
        <v>789</v>
      </c>
      <c r="B373" s="8">
        <v>45382</v>
      </c>
      <c r="C373" s="6">
        <v>0.5</v>
      </c>
      <c r="D373" s="5" t="s">
        <v>37</v>
      </c>
      <c r="E373" s="5" t="s">
        <v>49</v>
      </c>
      <c r="F373" s="5" t="s">
        <v>55</v>
      </c>
      <c r="G373" s="5">
        <v>43</v>
      </c>
      <c r="H373" s="5">
        <v>2.2999999999999998</v>
      </c>
      <c r="I373" s="5">
        <v>31</v>
      </c>
      <c r="J373" s="5">
        <v>465.45</v>
      </c>
      <c r="K373" s="5">
        <v>150</v>
      </c>
      <c r="L373" s="5" t="s">
        <v>68</v>
      </c>
      <c r="M373" s="5" t="s">
        <v>28</v>
      </c>
      <c r="N373" s="5">
        <v>3</v>
      </c>
      <c r="O373" s="5" t="s">
        <v>83</v>
      </c>
      <c r="P373" s="5">
        <v>164.39</v>
      </c>
    </row>
    <row r="374" spans="1:16" x14ac:dyDescent="0.5">
      <c r="A374" s="5" t="s">
        <v>790</v>
      </c>
      <c r="B374" s="8">
        <v>45453</v>
      </c>
      <c r="C374" s="6">
        <v>0.5</v>
      </c>
      <c r="D374" s="5" t="s">
        <v>839</v>
      </c>
      <c r="E374" s="5" t="s">
        <v>38</v>
      </c>
      <c r="F374" s="5" t="s">
        <v>25</v>
      </c>
      <c r="G374" s="5">
        <v>33</v>
      </c>
      <c r="H374" s="5">
        <v>3.6</v>
      </c>
      <c r="I374" s="5">
        <v>49</v>
      </c>
      <c r="J374" s="5">
        <v>1064.43</v>
      </c>
      <c r="K374" s="5">
        <v>0.15</v>
      </c>
      <c r="L374" s="5" t="s">
        <v>834</v>
      </c>
      <c r="M374" s="5" t="s">
        <v>59</v>
      </c>
      <c r="N374" s="5">
        <v>1</v>
      </c>
      <c r="O374" s="5" t="s">
        <v>836</v>
      </c>
      <c r="P374" s="5">
        <v>-22.41</v>
      </c>
    </row>
    <row r="375" spans="1:16" x14ac:dyDescent="0.5">
      <c r="A375" s="5" t="s">
        <v>791</v>
      </c>
      <c r="B375" s="8">
        <v>45630</v>
      </c>
      <c r="C375" s="6">
        <v>0.5</v>
      </c>
      <c r="D375" s="5" t="s">
        <v>31</v>
      </c>
      <c r="E375" s="5" t="s">
        <v>24</v>
      </c>
      <c r="F375" s="5" t="s">
        <v>33</v>
      </c>
      <c r="G375" s="5">
        <v>64</v>
      </c>
      <c r="H375" s="5">
        <v>1.3</v>
      </c>
      <c r="I375" s="5">
        <v>58</v>
      </c>
      <c r="J375" s="5">
        <v>905.28</v>
      </c>
      <c r="K375" s="5">
        <v>150</v>
      </c>
      <c r="L375" s="5" t="s">
        <v>834</v>
      </c>
      <c r="M375" s="5" t="s">
        <v>28</v>
      </c>
      <c r="N375" s="5">
        <v>3</v>
      </c>
      <c r="O375" s="5" t="s">
        <v>21</v>
      </c>
      <c r="P375" s="5">
        <v>-34.76</v>
      </c>
    </row>
    <row r="376" spans="1:16" x14ac:dyDescent="0.5">
      <c r="A376" s="5" t="s">
        <v>792</v>
      </c>
      <c r="B376" s="8">
        <v>45295</v>
      </c>
      <c r="C376" s="6">
        <v>0.10069444444444445</v>
      </c>
      <c r="D376" s="5" t="s">
        <v>112</v>
      </c>
      <c r="E376" s="5" t="s">
        <v>93</v>
      </c>
      <c r="F376" s="5" t="s">
        <v>55</v>
      </c>
      <c r="G376" s="5">
        <v>47</v>
      </c>
      <c r="H376" s="5">
        <v>3.3</v>
      </c>
      <c r="I376" s="5">
        <v>42</v>
      </c>
      <c r="J376" s="5">
        <v>296.58</v>
      </c>
      <c r="K376" s="5">
        <v>50</v>
      </c>
      <c r="L376" s="5" t="s">
        <v>834</v>
      </c>
      <c r="M376" s="5" t="s">
        <v>28</v>
      </c>
      <c r="N376" s="5">
        <v>0</v>
      </c>
      <c r="O376" s="5" t="s">
        <v>83</v>
      </c>
      <c r="P376" s="5">
        <v>96.47</v>
      </c>
    </row>
    <row r="377" spans="1:16" x14ac:dyDescent="0.5">
      <c r="A377" s="5" t="s">
        <v>793</v>
      </c>
      <c r="B377" s="8">
        <v>45455</v>
      </c>
      <c r="C377" s="6">
        <v>0.5</v>
      </c>
      <c r="D377" s="5" t="s">
        <v>112</v>
      </c>
      <c r="E377" s="5" t="s">
        <v>146</v>
      </c>
      <c r="F377" s="5" t="s">
        <v>838</v>
      </c>
      <c r="G377" s="5">
        <v>64</v>
      </c>
      <c r="H377" s="5">
        <v>3.5</v>
      </c>
      <c r="I377" s="5">
        <v>22</v>
      </c>
      <c r="J377" s="5">
        <v>464.46</v>
      </c>
      <c r="K377" s="5">
        <v>75</v>
      </c>
      <c r="L377" s="5" t="s">
        <v>834</v>
      </c>
      <c r="M377" s="5" t="s">
        <v>59</v>
      </c>
      <c r="N377" s="5">
        <v>8</v>
      </c>
      <c r="O377" s="5" t="s">
        <v>21</v>
      </c>
      <c r="P377" s="5">
        <v>58.89</v>
      </c>
    </row>
    <row r="378" spans="1:16" x14ac:dyDescent="0.5">
      <c r="A378" s="5" t="s">
        <v>797</v>
      </c>
      <c r="B378" s="8">
        <v>45349</v>
      </c>
      <c r="C378" s="6">
        <v>0.5</v>
      </c>
      <c r="D378" s="5" t="s">
        <v>70</v>
      </c>
      <c r="E378" s="5" t="s">
        <v>88</v>
      </c>
      <c r="F378" s="5" t="s">
        <v>18</v>
      </c>
      <c r="G378" s="5">
        <v>54</v>
      </c>
      <c r="H378" s="5">
        <v>3.1</v>
      </c>
      <c r="I378" s="5">
        <v>49</v>
      </c>
      <c r="J378" s="5">
        <v>357.43</v>
      </c>
      <c r="K378" s="5">
        <v>120</v>
      </c>
      <c r="L378" s="5" t="s">
        <v>837</v>
      </c>
      <c r="M378" s="5" t="s">
        <v>28</v>
      </c>
      <c r="N378" s="5">
        <v>9</v>
      </c>
      <c r="O378" s="5" t="s">
        <v>83</v>
      </c>
      <c r="P378" s="5">
        <v>178.84</v>
      </c>
    </row>
    <row r="379" spans="1:16" x14ac:dyDescent="0.5">
      <c r="A379" s="5" t="s">
        <v>801</v>
      </c>
      <c r="B379" s="8">
        <v>45328</v>
      </c>
      <c r="C379" s="6">
        <v>0.5</v>
      </c>
      <c r="D379" s="5" t="s">
        <v>70</v>
      </c>
      <c r="E379" s="5" t="s">
        <v>93</v>
      </c>
      <c r="F379" s="5" t="s">
        <v>101</v>
      </c>
      <c r="G379" s="5">
        <v>38</v>
      </c>
      <c r="H379" s="5">
        <v>0</v>
      </c>
      <c r="I379" s="5">
        <v>65</v>
      </c>
      <c r="J379" s="5">
        <v>2003.47</v>
      </c>
      <c r="K379" s="5">
        <v>0</v>
      </c>
      <c r="L379" s="5" t="s">
        <v>68</v>
      </c>
      <c r="M379" s="5" t="s">
        <v>28</v>
      </c>
      <c r="N379" s="5">
        <v>3</v>
      </c>
      <c r="O379" s="5" t="s">
        <v>35</v>
      </c>
      <c r="P379" s="5">
        <v>-29.41</v>
      </c>
    </row>
    <row r="380" spans="1:16" x14ac:dyDescent="0.5">
      <c r="A380" s="5" t="s">
        <v>845</v>
      </c>
      <c r="B380" s="8">
        <v>45413</v>
      </c>
      <c r="C380" s="6">
        <v>0.5</v>
      </c>
      <c r="D380" s="5" t="s">
        <v>122</v>
      </c>
      <c r="E380" s="5" t="s">
        <v>58</v>
      </c>
      <c r="F380" s="5" t="s">
        <v>97</v>
      </c>
      <c r="G380" s="5">
        <v>18</v>
      </c>
      <c r="H380" s="5">
        <v>2.7</v>
      </c>
      <c r="I380" s="5">
        <v>59</v>
      </c>
      <c r="J380" s="5">
        <v>1907.15</v>
      </c>
      <c r="K380" s="5">
        <v>0</v>
      </c>
      <c r="L380" s="5" t="s">
        <v>68</v>
      </c>
      <c r="M380" s="5" t="s">
        <v>42</v>
      </c>
      <c r="N380" s="5">
        <v>5</v>
      </c>
      <c r="O380" s="5" t="s">
        <v>43</v>
      </c>
      <c r="P380" s="5">
        <v>9.3800000000000008</v>
      </c>
    </row>
    <row r="381" spans="1:16" x14ac:dyDescent="0.5">
      <c r="A381" s="5" t="s">
        <v>805</v>
      </c>
      <c r="B381" s="8">
        <v>45465</v>
      </c>
      <c r="C381" s="6">
        <v>0.16666666666666666</v>
      </c>
      <c r="D381" s="5" t="s">
        <v>839</v>
      </c>
      <c r="E381" s="5" t="s">
        <v>17</v>
      </c>
      <c r="F381" s="5" t="s">
        <v>55</v>
      </c>
      <c r="G381" s="5">
        <v>64</v>
      </c>
      <c r="H381" s="5">
        <v>4.8</v>
      </c>
      <c r="I381" s="5">
        <v>39</v>
      </c>
      <c r="J381" s="5">
        <v>1194.26</v>
      </c>
      <c r="K381" s="5">
        <v>0</v>
      </c>
      <c r="L381" s="5" t="s">
        <v>68</v>
      </c>
      <c r="M381" s="5" t="s">
        <v>28</v>
      </c>
      <c r="N381" s="5">
        <v>6</v>
      </c>
      <c r="O381" s="5" t="s">
        <v>836</v>
      </c>
      <c r="P381" s="5">
        <v>0</v>
      </c>
    </row>
    <row r="382" spans="1:16" x14ac:dyDescent="0.5">
      <c r="A382" s="5" t="s">
        <v>806</v>
      </c>
      <c r="B382" s="8">
        <v>45310</v>
      </c>
      <c r="C382" s="6">
        <v>0.5</v>
      </c>
      <c r="D382" s="5" t="s">
        <v>81</v>
      </c>
      <c r="E382" s="5" t="s">
        <v>58</v>
      </c>
      <c r="F382" s="5" t="s">
        <v>78</v>
      </c>
      <c r="G382" s="5">
        <v>25</v>
      </c>
      <c r="H382" s="5">
        <v>1.7</v>
      </c>
      <c r="I382" s="5">
        <v>46</v>
      </c>
      <c r="J382" s="5">
        <v>2369.92</v>
      </c>
      <c r="K382" s="5">
        <v>0.6</v>
      </c>
      <c r="L382" s="5" t="s">
        <v>837</v>
      </c>
      <c r="M382" s="5" t="s">
        <v>59</v>
      </c>
      <c r="N382" s="5">
        <v>6</v>
      </c>
      <c r="O382" s="5" t="s">
        <v>836</v>
      </c>
      <c r="P382" s="5">
        <v>133.19999999999999</v>
      </c>
    </row>
    <row r="383" spans="1:16" x14ac:dyDescent="0.5">
      <c r="A383" s="5" t="s">
        <v>807</v>
      </c>
      <c r="B383" s="8">
        <v>45480</v>
      </c>
      <c r="C383" s="6">
        <v>0.50208333333333333</v>
      </c>
      <c r="D383" s="5" t="s">
        <v>66</v>
      </c>
      <c r="E383" s="5" t="s">
        <v>17</v>
      </c>
      <c r="F383" s="5" t="s">
        <v>78</v>
      </c>
      <c r="G383" s="5">
        <v>0</v>
      </c>
      <c r="H383" s="5">
        <v>4.4000000000000004</v>
      </c>
      <c r="I383" s="5">
        <v>63</v>
      </c>
      <c r="J383" s="5">
        <v>1942.97</v>
      </c>
      <c r="K383" s="5">
        <v>0</v>
      </c>
      <c r="L383" s="5" t="s">
        <v>73</v>
      </c>
      <c r="M383" s="5" t="s">
        <v>28</v>
      </c>
      <c r="N383" s="5">
        <v>4</v>
      </c>
      <c r="O383" s="5" t="s">
        <v>35</v>
      </c>
      <c r="P383" s="5">
        <v>24.46</v>
      </c>
    </row>
    <row r="384" spans="1:16" x14ac:dyDescent="0.5">
      <c r="A384" s="5" t="s">
        <v>808</v>
      </c>
      <c r="B384" s="8">
        <v>45413</v>
      </c>
      <c r="C384" s="6">
        <v>0.45347222222222222</v>
      </c>
      <c r="D384" s="5" t="s">
        <v>244</v>
      </c>
      <c r="E384" s="5" t="s">
        <v>93</v>
      </c>
      <c r="F384" s="5" t="s">
        <v>78</v>
      </c>
      <c r="G384" s="5">
        <v>27</v>
      </c>
      <c r="H384" s="5">
        <v>1.5</v>
      </c>
      <c r="I384" s="5">
        <v>67</v>
      </c>
      <c r="J384" s="5">
        <v>639.71</v>
      </c>
      <c r="K384" s="5">
        <v>0.6</v>
      </c>
      <c r="L384" s="5" t="s">
        <v>837</v>
      </c>
      <c r="M384" s="5" t="s">
        <v>42</v>
      </c>
      <c r="N384" s="5">
        <v>5</v>
      </c>
      <c r="O384" s="5" t="s">
        <v>836</v>
      </c>
      <c r="P384" s="5">
        <v>62.38</v>
      </c>
    </row>
    <row r="385" spans="1:16" x14ac:dyDescent="0.5">
      <c r="A385" s="5" t="s">
        <v>810</v>
      </c>
      <c r="B385" s="8">
        <v>45298</v>
      </c>
      <c r="C385" s="6">
        <v>0.41875000000000001</v>
      </c>
      <c r="D385" s="5" t="s">
        <v>839</v>
      </c>
      <c r="E385" s="5" t="s">
        <v>17</v>
      </c>
      <c r="F385" s="5" t="s">
        <v>25</v>
      </c>
      <c r="G385" s="5">
        <v>27</v>
      </c>
      <c r="H385" s="5">
        <v>4.3</v>
      </c>
      <c r="I385" s="5">
        <v>62</v>
      </c>
      <c r="J385" s="5">
        <v>1903.06</v>
      </c>
      <c r="K385" s="5">
        <v>0</v>
      </c>
      <c r="L385" s="5" t="s">
        <v>27</v>
      </c>
      <c r="M385" s="5" t="s">
        <v>28</v>
      </c>
      <c r="N385" s="5">
        <v>1</v>
      </c>
      <c r="O385" s="5" t="s">
        <v>21</v>
      </c>
      <c r="P385" s="5">
        <v>27.82</v>
      </c>
    </row>
    <row r="386" spans="1:16" x14ac:dyDescent="0.5">
      <c r="A386" s="5" t="s">
        <v>811</v>
      </c>
      <c r="B386" s="8">
        <v>45370</v>
      </c>
      <c r="C386" s="6">
        <v>0.5</v>
      </c>
      <c r="D386" s="5" t="s">
        <v>843</v>
      </c>
      <c r="E386" s="5" t="s">
        <v>71</v>
      </c>
      <c r="F386" s="5" t="s">
        <v>67</v>
      </c>
      <c r="G386" s="5">
        <v>38</v>
      </c>
      <c r="H386" s="5">
        <v>4.8</v>
      </c>
      <c r="I386" s="5">
        <v>51</v>
      </c>
      <c r="J386" s="5">
        <v>2370.84</v>
      </c>
      <c r="K386" s="5">
        <v>0.1</v>
      </c>
      <c r="L386" s="5" t="s">
        <v>103</v>
      </c>
      <c r="M386" s="5" t="s">
        <v>42</v>
      </c>
      <c r="N386" s="5">
        <v>3</v>
      </c>
      <c r="O386" s="5" t="s">
        <v>35</v>
      </c>
      <c r="P386" s="5">
        <v>20.86</v>
      </c>
    </row>
    <row r="387" spans="1:16" x14ac:dyDescent="0.5">
      <c r="A387" s="5" t="s">
        <v>813</v>
      </c>
      <c r="B387" s="8">
        <v>45428</v>
      </c>
      <c r="C387" s="6">
        <v>0.30833333333333335</v>
      </c>
      <c r="D387" s="5" t="s">
        <v>866</v>
      </c>
      <c r="E387" s="5" t="s">
        <v>93</v>
      </c>
      <c r="F387" s="5" t="s">
        <v>55</v>
      </c>
      <c r="G387" s="5">
        <v>51</v>
      </c>
      <c r="H387" s="5">
        <v>1.6</v>
      </c>
      <c r="I387" s="5">
        <v>29</v>
      </c>
      <c r="J387" s="5">
        <v>0</v>
      </c>
      <c r="K387" s="5">
        <v>0.5</v>
      </c>
      <c r="L387" s="5" t="s">
        <v>837</v>
      </c>
      <c r="M387" s="5" t="s">
        <v>28</v>
      </c>
      <c r="N387" s="5">
        <v>3</v>
      </c>
      <c r="O387" s="5" t="s">
        <v>51</v>
      </c>
      <c r="P387" s="5">
        <v>-17.78</v>
      </c>
    </row>
    <row r="388" spans="1:16" x14ac:dyDescent="0.5">
      <c r="A388" s="5" t="s">
        <v>815</v>
      </c>
      <c r="B388" s="8">
        <v>45337</v>
      </c>
      <c r="C388" s="6">
        <v>0.5</v>
      </c>
      <c r="D388" s="5" t="s">
        <v>283</v>
      </c>
      <c r="E388" s="5" t="s">
        <v>38</v>
      </c>
      <c r="F388" s="5" t="s">
        <v>78</v>
      </c>
      <c r="G388" s="5">
        <v>46</v>
      </c>
      <c r="H388" s="5">
        <v>3.8</v>
      </c>
      <c r="I388" s="5">
        <v>44</v>
      </c>
      <c r="J388" s="5">
        <v>1919.96</v>
      </c>
      <c r="K388" s="5">
        <v>50</v>
      </c>
      <c r="L388" s="5" t="s">
        <v>103</v>
      </c>
      <c r="M388" s="5" t="s">
        <v>28</v>
      </c>
      <c r="N388" s="5">
        <v>4</v>
      </c>
      <c r="O388" s="5" t="s">
        <v>35</v>
      </c>
      <c r="P388" s="5">
        <v>166.5</v>
      </c>
    </row>
    <row r="389" spans="1:16" x14ac:dyDescent="0.5">
      <c r="A389" s="5" t="s">
        <v>816</v>
      </c>
      <c r="B389" s="8">
        <v>45430</v>
      </c>
      <c r="C389" s="6">
        <v>0.5</v>
      </c>
      <c r="D389" s="5" t="s">
        <v>81</v>
      </c>
      <c r="E389" s="5" t="s">
        <v>17</v>
      </c>
      <c r="F389" s="5" t="s">
        <v>33</v>
      </c>
      <c r="G389" s="5">
        <v>52</v>
      </c>
      <c r="H389" s="5">
        <v>3.9</v>
      </c>
      <c r="I389" s="5">
        <v>72</v>
      </c>
      <c r="J389" s="5">
        <v>564.66999999999996</v>
      </c>
      <c r="K389" s="5">
        <v>0</v>
      </c>
      <c r="L389" s="5" t="s">
        <v>103</v>
      </c>
      <c r="M389" s="5" t="s">
        <v>28</v>
      </c>
      <c r="N389" s="5">
        <v>2</v>
      </c>
      <c r="O389" s="5" t="s">
        <v>840</v>
      </c>
      <c r="P389" s="5">
        <v>169.32</v>
      </c>
    </row>
    <row r="390" spans="1:16" x14ac:dyDescent="0.5">
      <c r="A390" s="5" t="s">
        <v>817</v>
      </c>
      <c r="B390" s="8">
        <v>45602</v>
      </c>
      <c r="C390" s="6">
        <v>0.5</v>
      </c>
      <c r="D390" s="5" t="s">
        <v>112</v>
      </c>
      <c r="E390" s="5" t="s">
        <v>146</v>
      </c>
      <c r="F390" s="5" t="s">
        <v>18</v>
      </c>
      <c r="G390" s="5">
        <v>52</v>
      </c>
      <c r="H390" s="5">
        <v>3.2</v>
      </c>
      <c r="I390" s="5">
        <v>78</v>
      </c>
      <c r="J390" s="5">
        <v>544.1</v>
      </c>
      <c r="K390" s="5">
        <v>150</v>
      </c>
      <c r="L390" s="5" t="s">
        <v>68</v>
      </c>
      <c r="M390" s="5" t="s">
        <v>28</v>
      </c>
      <c r="N390" s="5">
        <v>6</v>
      </c>
      <c r="O390" s="5" t="s">
        <v>51</v>
      </c>
      <c r="P390" s="5">
        <v>67.91</v>
      </c>
    </row>
    <row r="391" spans="1:16" x14ac:dyDescent="0.5">
      <c r="A391" s="5" t="s">
        <v>818</v>
      </c>
      <c r="B391" s="8">
        <v>45598</v>
      </c>
      <c r="C391" s="6">
        <v>0.5</v>
      </c>
      <c r="D391" s="5" t="s">
        <v>122</v>
      </c>
      <c r="E391" s="5" t="s">
        <v>54</v>
      </c>
      <c r="F391" s="5" t="s">
        <v>67</v>
      </c>
      <c r="G391" s="5">
        <v>55</v>
      </c>
      <c r="H391" s="5">
        <v>2.2000000000000002</v>
      </c>
      <c r="I391" s="5">
        <v>65</v>
      </c>
      <c r="J391" s="5">
        <v>1272.95</v>
      </c>
      <c r="K391" s="5">
        <v>120</v>
      </c>
      <c r="L391" s="5" t="s">
        <v>837</v>
      </c>
      <c r="M391" s="5" t="s">
        <v>59</v>
      </c>
      <c r="N391" s="5">
        <v>5</v>
      </c>
      <c r="O391" s="5" t="s">
        <v>21</v>
      </c>
      <c r="P391" s="5">
        <v>120.73</v>
      </c>
    </row>
    <row r="392" spans="1:16" x14ac:dyDescent="0.5">
      <c r="A392" s="5" t="s">
        <v>819</v>
      </c>
      <c r="B392" s="8">
        <v>45354</v>
      </c>
      <c r="C392" s="6">
        <v>0.5</v>
      </c>
      <c r="D392" s="5" t="s">
        <v>37</v>
      </c>
      <c r="E392" s="5" t="s">
        <v>88</v>
      </c>
      <c r="F392" s="5" t="s">
        <v>838</v>
      </c>
      <c r="G392" s="5">
        <v>18</v>
      </c>
      <c r="H392" s="5">
        <v>1.7</v>
      </c>
      <c r="I392" s="5">
        <v>65</v>
      </c>
      <c r="J392" s="5">
        <v>2204.5</v>
      </c>
      <c r="K392" s="5">
        <v>0.1</v>
      </c>
      <c r="L392" s="5" t="s">
        <v>68</v>
      </c>
      <c r="M392" s="5" t="s">
        <v>28</v>
      </c>
      <c r="N392" s="5">
        <v>9</v>
      </c>
      <c r="O392" s="5" t="s">
        <v>35</v>
      </c>
      <c r="P392" s="5">
        <v>38.33</v>
      </c>
    </row>
    <row r="393" spans="1:16" x14ac:dyDescent="0.5">
      <c r="A393" s="5" t="s">
        <v>825</v>
      </c>
      <c r="B393" s="8">
        <v>45306</v>
      </c>
      <c r="C393" s="6">
        <v>0.50416666666666665</v>
      </c>
      <c r="D393" s="5" t="s">
        <v>70</v>
      </c>
      <c r="E393" s="5" t="s">
        <v>24</v>
      </c>
      <c r="F393" s="5" t="s">
        <v>67</v>
      </c>
      <c r="G393" s="5">
        <v>64</v>
      </c>
      <c r="H393" s="5">
        <v>2.4</v>
      </c>
      <c r="I393" s="5">
        <v>56</v>
      </c>
      <c r="J393" s="5">
        <v>1438.86</v>
      </c>
      <c r="K393" s="5">
        <v>75</v>
      </c>
      <c r="L393" s="5" t="s">
        <v>68</v>
      </c>
      <c r="M393" s="5" t="s">
        <v>59</v>
      </c>
      <c r="N393" s="5">
        <v>8</v>
      </c>
      <c r="O393" s="5" t="s">
        <v>83</v>
      </c>
      <c r="P393" s="5">
        <v>-61.94</v>
      </c>
    </row>
    <row r="394" spans="1:16" x14ac:dyDescent="0.5">
      <c r="A394" s="5" t="s">
        <v>826</v>
      </c>
      <c r="B394" s="8">
        <v>45326</v>
      </c>
      <c r="C394" s="6">
        <v>0.5</v>
      </c>
      <c r="D394" s="5" t="s">
        <v>23</v>
      </c>
      <c r="E394" s="5" t="s">
        <v>58</v>
      </c>
      <c r="F394" s="5" t="s">
        <v>18</v>
      </c>
      <c r="G394" s="5">
        <v>47</v>
      </c>
      <c r="H394" s="5">
        <v>3.3</v>
      </c>
      <c r="I394" s="5">
        <v>73</v>
      </c>
      <c r="J394" s="5">
        <v>594.66</v>
      </c>
      <c r="K394" s="5">
        <v>50</v>
      </c>
      <c r="L394" s="5" t="s">
        <v>834</v>
      </c>
      <c r="M394" s="5" t="s">
        <v>42</v>
      </c>
      <c r="N394" s="5">
        <v>2</v>
      </c>
      <c r="O394" s="5" t="s">
        <v>836</v>
      </c>
      <c r="P394" s="5">
        <v>91.98</v>
      </c>
    </row>
    <row r="395" spans="1:16" x14ac:dyDescent="0.5">
      <c r="A395" s="5" t="s">
        <v>827</v>
      </c>
      <c r="B395" s="8">
        <v>45601</v>
      </c>
      <c r="C395" s="6">
        <v>0.5</v>
      </c>
      <c r="D395" s="5" t="s">
        <v>136</v>
      </c>
      <c r="E395" s="5" t="s">
        <v>88</v>
      </c>
      <c r="F395" s="5" t="s">
        <v>18</v>
      </c>
      <c r="G395" s="5">
        <v>46</v>
      </c>
      <c r="H395" s="5">
        <v>2.6</v>
      </c>
      <c r="I395" s="5">
        <v>42</v>
      </c>
      <c r="J395" s="5">
        <v>2325.27</v>
      </c>
      <c r="K395" s="5">
        <v>120</v>
      </c>
      <c r="L395" s="5" t="s">
        <v>834</v>
      </c>
      <c r="M395" s="5" t="s">
        <v>28</v>
      </c>
      <c r="N395" s="5">
        <v>7</v>
      </c>
      <c r="O395" s="5" t="s">
        <v>43</v>
      </c>
      <c r="P395" s="5">
        <v>164.96</v>
      </c>
    </row>
    <row r="396" spans="1:16" x14ac:dyDescent="0.5">
      <c r="A396" s="5" t="s">
        <v>828</v>
      </c>
      <c r="B396" s="8">
        <v>45308</v>
      </c>
      <c r="C396" s="6">
        <v>0.5</v>
      </c>
      <c r="D396" s="5" t="s">
        <v>70</v>
      </c>
      <c r="E396" s="5" t="s">
        <v>71</v>
      </c>
      <c r="F396" s="5" t="s">
        <v>78</v>
      </c>
      <c r="G396" s="5">
        <v>52</v>
      </c>
      <c r="H396" s="5">
        <v>2.4</v>
      </c>
      <c r="I396" s="5">
        <v>16</v>
      </c>
      <c r="J396" s="5">
        <v>1384.47</v>
      </c>
      <c r="K396" s="5">
        <v>150</v>
      </c>
      <c r="L396" s="5" t="s">
        <v>73</v>
      </c>
      <c r="M396" s="5" t="s">
        <v>28</v>
      </c>
      <c r="N396" s="5">
        <v>5</v>
      </c>
      <c r="O396" s="5" t="s">
        <v>43</v>
      </c>
      <c r="P396" s="5">
        <v>176.24</v>
      </c>
    </row>
    <row r="397" spans="1:16" x14ac:dyDescent="0.5">
      <c r="A397" s="5" t="s">
        <v>829</v>
      </c>
      <c r="B397" s="8">
        <v>45463</v>
      </c>
      <c r="C397" s="6">
        <v>0.37430555555555556</v>
      </c>
      <c r="D397" s="5" t="s">
        <v>122</v>
      </c>
      <c r="E397" s="5" t="s">
        <v>24</v>
      </c>
      <c r="F397" s="5" t="s">
        <v>18</v>
      </c>
      <c r="G397" s="5">
        <v>29</v>
      </c>
      <c r="H397" s="5">
        <v>2.8</v>
      </c>
      <c r="I397" s="5">
        <v>24</v>
      </c>
      <c r="J397" s="5">
        <v>2071.6</v>
      </c>
      <c r="K397" s="5">
        <v>150</v>
      </c>
      <c r="L397" s="5" t="s">
        <v>103</v>
      </c>
      <c r="M397" s="5" t="s">
        <v>28</v>
      </c>
      <c r="N397" s="5">
        <v>5</v>
      </c>
      <c r="O397" s="5" t="s">
        <v>83</v>
      </c>
      <c r="P397" s="5">
        <v>182.29</v>
      </c>
    </row>
    <row r="398" spans="1:16" x14ac:dyDescent="0.5">
      <c r="A398" s="5" t="s">
        <v>830</v>
      </c>
      <c r="B398" s="8">
        <v>45425</v>
      </c>
      <c r="C398" s="6">
        <v>0.5</v>
      </c>
      <c r="D398" s="5" t="s">
        <v>866</v>
      </c>
      <c r="E398" s="5" t="s">
        <v>88</v>
      </c>
      <c r="F398" s="5" t="s">
        <v>97</v>
      </c>
      <c r="G398" s="5">
        <v>23</v>
      </c>
      <c r="H398" s="5">
        <v>4.7</v>
      </c>
      <c r="I398" s="5">
        <v>17</v>
      </c>
      <c r="J398" s="5">
        <v>1876.17</v>
      </c>
      <c r="K398" s="5">
        <v>150</v>
      </c>
      <c r="L398" s="5" t="s">
        <v>103</v>
      </c>
      <c r="M398" s="5" t="s">
        <v>28</v>
      </c>
      <c r="N398" s="5">
        <v>7</v>
      </c>
      <c r="O398" s="5" t="s">
        <v>43</v>
      </c>
      <c r="P398" s="5">
        <v>180.48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9B43-63BE-487A-8168-00DFCDA9D70E}">
  <dimension ref="B2:Q32"/>
  <sheetViews>
    <sheetView topLeftCell="B4" zoomScale="87" workbookViewId="0">
      <selection activeCell="B9" sqref="B9"/>
    </sheetView>
  </sheetViews>
  <sheetFormatPr defaultRowHeight="16.5" x14ac:dyDescent="0.5"/>
  <cols>
    <col min="2" max="2" width="12.453125" bestFit="1" customWidth="1"/>
    <col min="3" max="3" width="13.453125" bestFit="1" customWidth="1"/>
    <col min="5" max="5" width="12.453125" bestFit="1" customWidth="1"/>
    <col min="6" max="6" width="23.26953125" bestFit="1" customWidth="1"/>
    <col min="7" max="7" width="10.453125" customWidth="1"/>
    <col min="8" max="8" width="17" bestFit="1" customWidth="1"/>
    <col min="9" max="9" width="17.81640625" bestFit="1" customWidth="1"/>
    <col min="10" max="10" width="16.81640625" customWidth="1"/>
    <col min="11" max="11" width="17" bestFit="1" customWidth="1"/>
    <col min="12" max="12" width="13.453125" bestFit="1" customWidth="1"/>
    <col min="14" max="14" width="16.81640625" customWidth="1"/>
    <col min="15" max="15" width="15.54296875" customWidth="1"/>
  </cols>
  <sheetData>
    <row r="2" spans="2:17" x14ac:dyDescent="0.5">
      <c r="B2" s="17" t="s">
        <v>868</v>
      </c>
      <c r="C2" s="17"/>
      <c r="D2" s="17"/>
      <c r="E2" s="17"/>
      <c r="F2" s="17"/>
      <c r="G2" s="17"/>
      <c r="H2" s="17"/>
      <c r="I2" s="17"/>
      <c r="J2" s="17"/>
      <c r="K2" s="17"/>
      <c r="L2" s="17"/>
      <c r="M2" s="17"/>
      <c r="N2" s="17"/>
      <c r="O2" s="17"/>
      <c r="P2" s="17"/>
      <c r="Q2" s="17"/>
    </row>
    <row r="3" spans="2:17" x14ac:dyDescent="0.5">
      <c r="B3" s="17"/>
      <c r="C3" s="17"/>
      <c r="D3" s="17"/>
      <c r="E3" s="17"/>
      <c r="F3" s="17"/>
      <c r="G3" s="17"/>
      <c r="H3" s="17"/>
      <c r="I3" s="17"/>
      <c r="J3" s="17"/>
      <c r="K3" s="17"/>
      <c r="L3" s="17"/>
      <c r="M3" s="17"/>
      <c r="N3" s="17"/>
      <c r="O3" s="17"/>
      <c r="P3" s="17"/>
      <c r="Q3" s="17"/>
    </row>
    <row r="5" spans="2:17" x14ac:dyDescent="0.5">
      <c r="B5" s="9" t="s">
        <v>3</v>
      </c>
      <c r="C5" t="s">
        <v>871</v>
      </c>
      <c r="E5" s="9" t="s">
        <v>3</v>
      </c>
      <c r="F5" s="11" t="s">
        <v>878</v>
      </c>
      <c r="H5" s="9" t="s">
        <v>2</v>
      </c>
      <c r="I5" s="11" t="s">
        <v>872</v>
      </c>
      <c r="K5" s="9" t="s">
        <v>869</v>
      </c>
      <c r="L5" t="s">
        <v>871</v>
      </c>
    </row>
    <row r="6" spans="2:17" x14ac:dyDescent="0.5">
      <c r="B6" s="10" t="s">
        <v>24</v>
      </c>
      <c r="C6">
        <v>2901.0099999999998</v>
      </c>
      <c r="E6" s="10" t="s">
        <v>24</v>
      </c>
      <c r="F6" s="11">
        <v>44.146341463414636</v>
      </c>
      <c r="H6" s="10" t="s">
        <v>244</v>
      </c>
      <c r="I6" s="11">
        <v>2.0666666666666669</v>
      </c>
      <c r="K6" s="10" t="s">
        <v>244</v>
      </c>
      <c r="L6">
        <v>157.12</v>
      </c>
    </row>
    <row r="7" spans="2:17" x14ac:dyDescent="0.5">
      <c r="B7" s="10" t="s">
        <v>49</v>
      </c>
      <c r="C7">
        <v>3080.04</v>
      </c>
      <c r="E7" s="10" t="s">
        <v>49</v>
      </c>
      <c r="F7" s="11">
        <v>44.371428571428574</v>
      </c>
      <c r="H7" s="10" t="s">
        <v>407</v>
      </c>
      <c r="I7" s="11">
        <v>1.9</v>
      </c>
      <c r="K7" s="10" t="s">
        <v>407</v>
      </c>
      <c r="L7">
        <v>352.2</v>
      </c>
    </row>
    <row r="8" spans="2:17" x14ac:dyDescent="0.5">
      <c r="B8" s="10" t="s">
        <v>32</v>
      </c>
      <c r="C8">
        <v>126.35</v>
      </c>
      <c r="E8" s="10" t="s">
        <v>32</v>
      </c>
      <c r="F8" s="11">
        <v>16</v>
      </c>
      <c r="H8" s="10" t="s">
        <v>414</v>
      </c>
      <c r="I8" s="11">
        <v>2.4</v>
      </c>
      <c r="K8" s="10" t="s">
        <v>414</v>
      </c>
      <c r="L8">
        <v>146.91</v>
      </c>
    </row>
    <row r="9" spans="2:17" x14ac:dyDescent="0.5">
      <c r="B9" s="10" t="s">
        <v>284</v>
      </c>
      <c r="C9">
        <v>351.5</v>
      </c>
      <c r="E9" s="10" t="s">
        <v>284</v>
      </c>
      <c r="F9" s="11">
        <v>49.333333333333336</v>
      </c>
      <c r="H9" s="10" t="s">
        <v>164</v>
      </c>
      <c r="I9" s="11">
        <v>2.5</v>
      </c>
      <c r="K9" s="10" t="s">
        <v>164</v>
      </c>
      <c r="L9">
        <v>104.57000000000001</v>
      </c>
    </row>
    <row r="10" spans="2:17" x14ac:dyDescent="0.5">
      <c r="B10" s="10" t="s">
        <v>633</v>
      </c>
      <c r="C10">
        <v>11.54</v>
      </c>
      <c r="E10" s="10" t="s">
        <v>633</v>
      </c>
      <c r="F10" s="11">
        <v>76</v>
      </c>
      <c r="H10" s="10" t="s">
        <v>248</v>
      </c>
      <c r="I10" s="11">
        <v>2.3000000000000003</v>
      </c>
      <c r="K10" s="10" t="s">
        <v>248</v>
      </c>
      <c r="L10">
        <v>379.63</v>
      </c>
    </row>
    <row r="11" spans="2:17" x14ac:dyDescent="0.5">
      <c r="B11" s="10" t="s">
        <v>38</v>
      </c>
      <c r="C11">
        <v>2174.2999999999997</v>
      </c>
      <c r="E11" s="10" t="s">
        <v>38</v>
      </c>
      <c r="F11" s="11">
        <v>45.035714285714285</v>
      </c>
      <c r="H11" s="10" t="s">
        <v>233</v>
      </c>
      <c r="I11" s="11">
        <v>3.4666666666666663</v>
      </c>
      <c r="K11" s="10" t="s">
        <v>233</v>
      </c>
      <c r="L11">
        <v>22.230000000000004</v>
      </c>
    </row>
    <row r="12" spans="2:17" x14ac:dyDescent="0.5">
      <c r="B12" s="10" t="s">
        <v>17</v>
      </c>
      <c r="C12">
        <v>2824.7400000000007</v>
      </c>
      <c r="E12" s="10" t="s">
        <v>17</v>
      </c>
      <c r="F12" s="11">
        <v>41.921052631578945</v>
      </c>
      <c r="H12" s="10" t="s">
        <v>620</v>
      </c>
      <c r="I12" s="11">
        <v>2.3333333333333335</v>
      </c>
      <c r="K12" s="10" t="s">
        <v>620</v>
      </c>
      <c r="L12">
        <v>190.11</v>
      </c>
    </row>
    <row r="13" spans="2:17" x14ac:dyDescent="0.5">
      <c r="B13" s="10" t="s">
        <v>58</v>
      </c>
      <c r="C13">
        <v>2182.3800000000006</v>
      </c>
      <c r="E13" s="10" t="s">
        <v>58</v>
      </c>
      <c r="F13" s="11">
        <v>43.45945945945946</v>
      </c>
      <c r="H13" s="10" t="s">
        <v>283</v>
      </c>
      <c r="I13" s="11">
        <v>2.8250000000000002</v>
      </c>
      <c r="K13" s="10" t="s">
        <v>283</v>
      </c>
      <c r="L13">
        <v>537.91999999999996</v>
      </c>
    </row>
    <row r="14" spans="2:17" x14ac:dyDescent="0.5">
      <c r="B14" s="10" t="s">
        <v>88</v>
      </c>
      <c r="C14">
        <v>4000.8500000000004</v>
      </c>
      <c r="E14" s="10" t="s">
        <v>88</v>
      </c>
      <c r="F14" s="11">
        <v>43.826086956521742</v>
      </c>
      <c r="H14" s="10" t="s">
        <v>859</v>
      </c>
      <c r="I14" s="11">
        <v>1.3</v>
      </c>
      <c r="K14" s="10" t="s">
        <v>859</v>
      </c>
      <c r="L14">
        <v>51.89</v>
      </c>
    </row>
    <row r="15" spans="2:17" x14ac:dyDescent="0.5">
      <c r="B15" s="10" t="s">
        <v>54</v>
      </c>
      <c r="C15">
        <v>3244.94</v>
      </c>
      <c r="E15" s="10" t="s">
        <v>54</v>
      </c>
      <c r="F15" s="11">
        <v>47.456521739130437</v>
      </c>
      <c r="H15" s="10" t="s">
        <v>136</v>
      </c>
      <c r="I15" s="11">
        <v>2.9199999999999995</v>
      </c>
      <c r="K15" s="10" t="s">
        <v>136</v>
      </c>
      <c r="L15">
        <v>2920.6299999999997</v>
      </c>
    </row>
    <row r="16" spans="2:17" x14ac:dyDescent="0.5">
      <c r="B16" s="10" t="s">
        <v>146</v>
      </c>
      <c r="C16">
        <v>2881.8799999999997</v>
      </c>
      <c r="E16" s="10" t="s">
        <v>146</v>
      </c>
      <c r="F16" s="11">
        <v>48.583333333333336</v>
      </c>
      <c r="H16" s="10" t="s">
        <v>862</v>
      </c>
      <c r="I16" s="11">
        <v>4.5999999999999996</v>
      </c>
      <c r="K16" s="10" t="s">
        <v>862</v>
      </c>
      <c r="L16">
        <v>-48.37</v>
      </c>
    </row>
    <row r="17" spans="2:12" x14ac:dyDescent="0.5">
      <c r="B17" s="10" t="s">
        <v>93</v>
      </c>
      <c r="C17">
        <v>2946.8500000000004</v>
      </c>
      <c r="E17" s="10" t="s">
        <v>93</v>
      </c>
      <c r="F17" s="11">
        <v>43.736842105263158</v>
      </c>
      <c r="H17" s="10" t="s">
        <v>31</v>
      </c>
      <c r="I17" s="11">
        <v>2.920689655172414</v>
      </c>
      <c r="K17" s="10" t="s">
        <v>31</v>
      </c>
      <c r="L17">
        <v>2125.16</v>
      </c>
    </row>
    <row r="18" spans="2:12" x14ac:dyDescent="0.5">
      <c r="B18" s="10" t="s">
        <v>838</v>
      </c>
      <c r="C18">
        <v>969.27</v>
      </c>
      <c r="E18" s="10" t="s">
        <v>838</v>
      </c>
      <c r="F18" s="11">
        <v>36.799999999999997</v>
      </c>
      <c r="H18" s="10" t="s">
        <v>46</v>
      </c>
      <c r="I18" s="11">
        <v>2.9714285714285715</v>
      </c>
      <c r="K18" s="10" t="s">
        <v>46</v>
      </c>
      <c r="L18">
        <v>1358.0600000000002</v>
      </c>
    </row>
    <row r="19" spans="2:12" x14ac:dyDescent="0.5">
      <c r="B19" s="10" t="s">
        <v>71</v>
      </c>
      <c r="C19">
        <v>2807.670000000001</v>
      </c>
      <c r="E19" s="10" t="s">
        <v>71</v>
      </c>
      <c r="F19" s="11">
        <v>37.594594594594597</v>
      </c>
      <c r="H19" s="10" t="s">
        <v>23</v>
      </c>
      <c r="I19" s="11">
        <v>3.290909090909091</v>
      </c>
      <c r="K19" s="10" t="s">
        <v>23</v>
      </c>
      <c r="L19">
        <v>1408.2799999999997</v>
      </c>
    </row>
    <row r="20" spans="2:12" x14ac:dyDescent="0.5">
      <c r="B20" s="10" t="s">
        <v>870</v>
      </c>
      <c r="C20">
        <v>30503.32</v>
      </c>
      <c r="E20" s="10" t="s">
        <v>870</v>
      </c>
      <c r="F20" s="11">
        <v>43.914357682619645</v>
      </c>
      <c r="H20" s="10" t="s">
        <v>861</v>
      </c>
      <c r="I20" s="11">
        <v>3.05</v>
      </c>
      <c r="K20" s="10" t="s">
        <v>861</v>
      </c>
      <c r="L20">
        <v>170.2</v>
      </c>
    </row>
    <row r="21" spans="2:12" x14ac:dyDescent="0.5">
      <c r="H21" s="10" t="s">
        <v>122</v>
      </c>
      <c r="I21" s="11">
        <v>2.3742857142857141</v>
      </c>
      <c r="K21" s="10" t="s">
        <v>122</v>
      </c>
      <c r="L21">
        <v>2498.2800000000002</v>
      </c>
    </row>
    <row r="22" spans="2:12" x14ac:dyDescent="0.5">
      <c r="H22" s="10" t="s">
        <v>863</v>
      </c>
      <c r="I22" s="11">
        <v>1.2</v>
      </c>
      <c r="K22" s="10" t="s">
        <v>863</v>
      </c>
      <c r="L22">
        <v>111.56</v>
      </c>
    </row>
    <row r="23" spans="2:12" x14ac:dyDescent="0.5">
      <c r="H23" s="10" t="s">
        <v>66</v>
      </c>
      <c r="I23" s="11">
        <v>2.8666666666666671</v>
      </c>
      <c r="K23" s="10" t="s">
        <v>66</v>
      </c>
      <c r="L23">
        <v>2372.2000000000003</v>
      </c>
    </row>
    <row r="24" spans="2:12" x14ac:dyDescent="0.5">
      <c r="H24" s="10" t="s">
        <v>112</v>
      </c>
      <c r="I24" s="11">
        <v>2.8074074074074074</v>
      </c>
      <c r="K24" s="10" t="s">
        <v>112</v>
      </c>
      <c r="L24">
        <v>1391.8500000000001</v>
      </c>
    </row>
    <row r="25" spans="2:12" x14ac:dyDescent="0.5">
      <c r="H25" s="10" t="s">
        <v>866</v>
      </c>
      <c r="I25" s="11">
        <v>2.9161290322580649</v>
      </c>
      <c r="K25" s="10" t="s">
        <v>866</v>
      </c>
      <c r="L25">
        <v>1562.0700000000002</v>
      </c>
    </row>
    <row r="26" spans="2:12" x14ac:dyDescent="0.5">
      <c r="H26" s="10" t="s">
        <v>839</v>
      </c>
      <c r="I26" s="11">
        <v>3.1194444444444436</v>
      </c>
      <c r="K26" s="10" t="s">
        <v>839</v>
      </c>
      <c r="L26">
        <v>2530.360000000001</v>
      </c>
    </row>
    <row r="27" spans="2:12" x14ac:dyDescent="0.5">
      <c r="H27" s="10" t="s">
        <v>843</v>
      </c>
      <c r="I27" s="11">
        <v>3.0315789473684207</v>
      </c>
      <c r="K27" s="10" t="s">
        <v>843</v>
      </c>
      <c r="L27">
        <v>1667.5299999999995</v>
      </c>
    </row>
    <row r="28" spans="2:12" x14ac:dyDescent="0.5">
      <c r="H28" s="10" t="s">
        <v>81</v>
      </c>
      <c r="I28" s="11">
        <v>2.9703703703703699</v>
      </c>
      <c r="K28" s="10" t="s">
        <v>81</v>
      </c>
      <c r="L28">
        <v>2277.9700000000003</v>
      </c>
    </row>
    <row r="29" spans="2:12" x14ac:dyDescent="0.5">
      <c r="H29" s="10" t="s">
        <v>70</v>
      </c>
      <c r="I29" s="11">
        <v>2.6230769230769235</v>
      </c>
      <c r="K29" s="10" t="s">
        <v>70</v>
      </c>
      <c r="L29">
        <v>3855.7300000000005</v>
      </c>
    </row>
    <row r="30" spans="2:12" x14ac:dyDescent="0.5">
      <c r="H30" s="10" t="s">
        <v>857</v>
      </c>
      <c r="I30" s="11">
        <v>4.9000000000000004</v>
      </c>
      <c r="K30" s="10" t="s">
        <v>857</v>
      </c>
      <c r="L30">
        <v>184.09</v>
      </c>
    </row>
    <row r="31" spans="2:12" x14ac:dyDescent="0.5">
      <c r="H31" s="10" t="s">
        <v>37</v>
      </c>
      <c r="I31" s="11">
        <v>2.5142857142857138</v>
      </c>
      <c r="K31" s="10" t="s">
        <v>37</v>
      </c>
      <c r="L31">
        <v>2175.1400000000003</v>
      </c>
    </row>
    <row r="32" spans="2:12" x14ac:dyDescent="0.5">
      <c r="H32" s="10" t="s">
        <v>870</v>
      </c>
      <c r="I32" s="11">
        <v>2.8264483627204</v>
      </c>
      <c r="K32" s="10" t="s">
        <v>870</v>
      </c>
      <c r="L32">
        <v>30503.320000000003</v>
      </c>
    </row>
  </sheetData>
  <mergeCells count="1">
    <mergeCell ref="B2:Q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0CD4A-8895-46A1-B883-9402A07D8B27}">
  <dimension ref="A1:T40"/>
  <sheetViews>
    <sheetView tabSelected="1" zoomScale="57" zoomScaleNormal="55" workbookViewId="0">
      <selection activeCell="A3" sqref="A3:S3"/>
    </sheetView>
  </sheetViews>
  <sheetFormatPr defaultRowHeight="16.5" x14ac:dyDescent="0.5"/>
  <cols>
    <col min="5" max="5" width="11.08984375" customWidth="1"/>
    <col min="6" max="6" width="7.81640625" customWidth="1"/>
    <col min="8" max="8" width="11.81640625" customWidth="1"/>
    <col min="11" max="11" width="9" customWidth="1"/>
    <col min="12" max="12" width="4.6328125" customWidth="1"/>
    <col min="14" max="14" width="11.6328125" customWidth="1"/>
  </cols>
  <sheetData>
    <row r="1" spans="1:20" x14ac:dyDescent="0.5">
      <c r="A1" s="14" t="s">
        <v>879</v>
      </c>
      <c r="B1" s="14"/>
      <c r="C1" s="14"/>
      <c r="D1" s="14"/>
      <c r="E1" s="14"/>
      <c r="F1" s="14"/>
      <c r="G1" s="14"/>
      <c r="H1" s="14"/>
      <c r="I1" s="14"/>
      <c r="J1" s="14"/>
      <c r="K1" s="14"/>
      <c r="L1" s="14"/>
      <c r="M1" s="14"/>
      <c r="N1" s="14"/>
      <c r="O1" s="14"/>
      <c r="P1" s="14"/>
      <c r="Q1" s="14"/>
      <c r="R1" s="14"/>
      <c r="S1" s="14"/>
      <c r="T1" s="13"/>
    </row>
    <row r="2" spans="1:20" x14ac:dyDescent="0.5">
      <c r="A2" s="14"/>
      <c r="B2" s="14"/>
      <c r="C2" s="14"/>
      <c r="D2" s="14"/>
      <c r="E2" s="14"/>
      <c r="F2" s="14"/>
      <c r="G2" s="14"/>
      <c r="H2" s="14"/>
      <c r="I2" s="14"/>
      <c r="J2" s="14"/>
      <c r="K2" s="14"/>
      <c r="L2" s="14"/>
      <c r="M2" s="14"/>
      <c r="N2" s="14"/>
      <c r="O2" s="14"/>
      <c r="P2" s="14"/>
      <c r="Q2" s="14"/>
      <c r="R2" s="14"/>
      <c r="S2" s="14"/>
      <c r="T2" s="13"/>
    </row>
    <row r="3" spans="1:20" x14ac:dyDescent="0.5">
      <c r="A3" s="13"/>
      <c r="B3" s="13"/>
      <c r="C3" s="13"/>
      <c r="D3" s="13"/>
      <c r="E3" s="13"/>
      <c r="F3" s="13"/>
      <c r="G3" s="13"/>
      <c r="H3" s="13"/>
      <c r="I3" s="13"/>
      <c r="J3" s="13"/>
      <c r="K3" s="13"/>
      <c r="L3" s="13"/>
      <c r="M3" s="13"/>
      <c r="N3" s="13"/>
      <c r="O3" s="13"/>
      <c r="P3" s="13"/>
      <c r="Q3" s="13"/>
      <c r="R3" s="13"/>
      <c r="S3" s="13"/>
      <c r="T3" s="13"/>
    </row>
    <row r="4" spans="1:20" x14ac:dyDescent="0.5">
      <c r="A4" s="15" t="s">
        <v>873</v>
      </c>
      <c r="B4" s="15"/>
      <c r="C4" s="13"/>
      <c r="D4" s="12" t="s">
        <v>874</v>
      </c>
      <c r="E4" s="12"/>
      <c r="F4" s="13"/>
      <c r="G4" s="12" t="s">
        <v>875</v>
      </c>
      <c r="H4" s="12"/>
      <c r="I4" s="13"/>
      <c r="J4" s="12" t="s">
        <v>876</v>
      </c>
      <c r="K4" s="12"/>
      <c r="L4" s="13"/>
      <c r="M4" s="12" t="s">
        <v>877</v>
      </c>
      <c r="N4" s="12"/>
      <c r="O4" s="13"/>
      <c r="P4" s="13"/>
      <c r="Q4" s="13"/>
      <c r="R4" s="13"/>
      <c r="S4" s="13"/>
      <c r="T4" s="13"/>
    </row>
    <row r="5" spans="1:20" x14ac:dyDescent="0.5">
      <c r="A5" s="15"/>
      <c r="B5" s="15"/>
      <c r="C5" s="13"/>
      <c r="D5" s="12"/>
      <c r="E5" s="12"/>
      <c r="F5" s="13"/>
      <c r="G5" s="12"/>
      <c r="H5" s="12"/>
      <c r="I5" s="13"/>
      <c r="J5" s="12"/>
      <c r="K5" s="12"/>
      <c r="L5" s="13"/>
      <c r="M5" s="12"/>
      <c r="N5" s="12"/>
      <c r="O5" s="13"/>
      <c r="P5" s="13"/>
      <c r="Q5" s="13"/>
      <c r="R5" s="13"/>
      <c r="S5" s="13"/>
      <c r="T5" s="13"/>
    </row>
    <row r="6" spans="1:20" x14ac:dyDescent="0.5">
      <c r="A6" s="12">
        <f>COUNTA('zomato cleaned dataset'!A2:A398)-1</f>
        <v>396</v>
      </c>
      <c r="B6" s="12"/>
      <c r="C6" s="13"/>
      <c r="D6" s="12">
        <f>SUM('zomato cleaned dataset'!P:P)</f>
        <v>30503.320000000011</v>
      </c>
      <c r="E6" s="12"/>
      <c r="F6" s="13"/>
      <c r="G6" s="16">
        <f>AVERAGEA('zomato cleaned dataset'!K:K)</f>
        <v>49.327638190954787</v>
      </c>
      <c r="H6" s="16"/>
      <c r="I6" s="13"/>
      <c r="J6" s="16">
        <f>AVERAGEA('zomato cleaned dataset'!H:H)</f>
        <v>2.8193467336683393</v>
      </c>
      <c r="K6" s="16"/>
      <c r="L6" s="13"/>
      <c r="M6" s="12">
        <f>SUM('zomato cleaned dataset'!N:N)</f>
        <v>2109</v>
      </c>
      <c r="N6" s="12"/>
      <c r="O6" s="13"/>
      <c r="P6" s="13"/>
      <c r="Q6" s="13"/>
      <c r="R6" s="13"/>
      <c r="S6" s="13"/>
      <c r="T6" s="13"/>
    </row>
    <row r="7" spans="1:20" x14ac:dyDescent="0.5">
      <c r="A7" s="12"/>
      <c r="B7" s="12"/>
      <c r="C7" s="13"/>
      <c r="D7" s="12"/>
      <c r="E7" s="12"/>
      <c r="F7" s="13"/>
      <c r="G7" s="16"/>
      <c r="H7" s="16"/>
      <c r="I7" s="13"/>
      <c r="J7" s="16"/>
      <c r="K7" s="16"/>
      <c r="L7" s="13"/>
      <c r="M7" s="12"/>
      <c r="N7" s="12"/>
      <c r="O7" s="13"/>
      <c r="P7" s="13"/>
      <c r="Q7" s="13"/>
      <c r="R7" s="13"/>
      <c r="S7" s="13"/>
      <c r="T7" s="13"/>
    </row>
    <row r="8" spans="1:20" x14ac:dyDescent="0.5">
      <c r="A8" s="13"/>
      <c r="B8" s="13"/>
      <c r="C8" s="13"/>
      <c r="D8" s="13"/>
      <c r="E8" s="13"/>
      <c r="F8" s="13"/>
      <c r="G8" s="13"/>
      <c r="H8" s="13"/>
      <c r="I8" s="13"/>
      <c r="J8" s="13"/>
      <c r="K8" s="13"/>
      <c r="L8" s="13"/>
      <c r="M8" s="13"/>
      <c r="N8" s="13"/>
      <c r="O8" s="13"/>
      <c r="P8" s="13"/>
      <c r="Q8" s="13"/>
      <c r="R8" s="13"/>
      <c r="S8" s="13"/>
      <c r="T8" s="13"/>
    </row>
    <row r="9" spans="1:20" x14ac:dyDescent="0.5">
      <c r="A9" s="13"/>
      <c r="B9" s="13"/>
      <c r="C9" s="13"/>
      <c r="D9" s="13"/>
      <c r="E9" s="13"/>
      <c r="F9" s="13"/>
      <c r="G9" s="13"/>
      <c r="H9" s="13"/>
      <c r="I9" s="13"/>
      <c r="J9" s="13"/>
      <c r="K9" s="13"/>
      <c r="L9" s="13"/>
      <c r="M9" s="13"/>
      <c r="N9" s="13"/>
      <c r="O9" s="13"/>
      <c r="P9" s="13"/>
      <c r="Q9" s="13"/>
      <c r="R9" s="13"/>
      <c r="S9" s="13"/>
      <c r="T9" s="13"/>
    </row>
    <row r="10" spans="1:20" x14ac:dyDescent="0.5">
      <c r="A10" s="13"/>
      <c r="B10" s="13"/>
      <c r="C10" s="13"/>
      <c r="D10" s="13"/>
      <c r="E10" s="13"/>
      <c r="F10" s="13"/>
      <c r="G10" s="13"/>
      <c r="H10" s="13"/>
      <c r="I10" s="13"/>
      <c r="J10" s="13"/>
      <c r="K10" s="13"/>
      <c r="L10" s="13"/>
      <c r="M10" s="13"/>
      <c r="N10" s="13"/>
      <c r="O10" s="13"/>
      <c r="P10" s="13"/>
      <c r="Q10" s="13"/>
      <c r="R10" s="13"/>
      <c r="S10" s="13"/>
      <c r="T10" s="13"/>
    </row>
    <row r="11" spans="1:20" x14ac:dyDescent="0.5">
      <c r="A11" s="13"/>
      <c r="B11" s="13"/>
      <c r="C11" s="13"/>
      <c r="D11" s="13"/>
      <c r="E11" s="13"/>
      <c r="F11" s="13"/>
      <c r="G11" s="13"/>
      <c r="H11" s="13"/>
      <c r="I11" s="13"/>
      <c r="J11" s="13"/>
      <c r="K11" s="13"/>
      <c r="L11" s="13"/>
      <c r="M11" s="13"/>
      <c r="N11" s="13"/>
      <c r="O11" s="13"/>
      <c r="P11" s="13"/>
      <c r="Q11" s="13"/>
      <c r="R11" s="13"/>
      <c r="S11" s="13"/>
      <c r="T11" s="13"/>
    </row>
    <row r="12" spans="1:20" x14ac:dyDescent="0.5">
      <c r="A12" s="13"/>
      <c r="B12" s="13"/>
      <c r="C12" s="13"/>
      <c r="D12" s="13"/>
      <c r="E12" s="13"/>
      <c r="F12" s="13"/>
      <c r="G12" s="13"/>
      <c r="H12" s="13"/>
      <c r="I12" s="13"/>
      <c r="J12" s="13"/>
      <c r="K12" s="13"/>
      <c r="L12" s="13"/>
      <c r="M12" s="13"/>
      <c r="N12" s="13"/>
      <c r="O12" s="13"/>
      <c r="P12" s="13"/>
      <c r="Q12" s="13"/>
      <c r="R12" s="13"/>
      <c r="S12" s="13"/>
      <c r="T12" s="13"/>
    </row>
    <row r="13" spans="1:20" x14ac:dyDescent="0.5">
      <c r="A13" s="13"/>
      <c r="B13" s="13"/>
      <c r="C13" s="13"/>
      <c r="D13" s="13"/>
      <c r="E13" s="13"/>
      <c r="F13" s="13"/>
      <c r="G13" s="13"/>
      <c r="H13" s="13"/>
      <c r="I13" s="13"/>
      <c r="J13" s="13"/>
      <c r="K13" s="13"/>
      <c r="L13" s="13"/>
      <c r="M13" s="13"/>
      <c r="N13" s="13"/>
      <c r="O13" s="13"/>
      <c r="P13" s="13"/>
      <c r="Q13" s="13"/>
      <c r="R13" s="13"/>
      <c r="S13" s="13"/>
      <c r="T13" s="13"/>
    </row>
    <row r="14" spans="1:20" x14ac:dyDescent="0.5">
      <c r="A14" s="13"/>
      <c r="B14" s="13"/>
      <c r="C14" s="13"/>
      <c r="D14" s="13"/>
      <c r="E14" s="13"/>
      <c r="F14" s="13"/>
      <c r="G14" s="13"/>
      <c r="H14" s="13"/>
      <c r="I14" s="13"/>
      <c r="J14" s="13"/>
      <c r="K14" s="13"/>
      <c r="L14" s="13"/>
      <c r="M14" s="13"/>
      <c r="N14" s="13"/>
      <c r="O14" s="13"/>
      <c r="P14" s="13"/>
      <c r="Q14" s="13"/>
      <c r="R14" s="13"/>
      <c r="S14" s="13"/>
      <c r="T14" s="13"/>
    </row>
    <row r="15" spans="1:20" x14ac:dyDescent="0.5">
      <c r="A15" s="13"/>
      <c r="B15" s="13"/>
      <c r="C15" s="13"/>
      <c r="D15" s="13"/>
      <c r="E15" s="13"/>
      <c r="F15" s="13"/>
      <c r="G15" s="13"/>
      <c r="H15" s="13"/>
      <c r="I15" s="13"/>
      <c r="J15" s="13"/>
      <c r="K15" s="13"/>
      <c r="L15" s="13"/>
      <c r="M15" s="13"/>
      <c r="N15" s="13"/>
      <c r="O15" s="13"/>
      <c r="P15" s="13"/>
      <c r="Q15" s="13"/>
      <c r="R15" s="13"/>
      <c r="S15" s="13"/>
      <c r="T15" s="13"/>
    </row>
    <row r="16" spans="1:20" x14ac:dyDescent="0.5">
      <c r="A16" s="13"/>
      <c r="B16" s="13"/>
      <c r="C16" s="13"/>
      <c r="D16" s="13"/>
      <c r="E16" s="13"/>
      <c r="F16" s="13"/>
      <c r="G16" s="13"/>
      <c r="H16" s="13"/>
      <c r="I16" s="13"/>
      <c r="J16" s="13"/>
      <c r="K16" s="13"/>
      <c r="L16" s="13"/>
      <c r="M16" s="13"/>
      <c r="N16" s="13"/>
      <c r="O16" s="13"/>
      <c r="P16" s="13"/>
      <c r="Q16" s="13"/>
      <c r="R16" s="13"/>
      <c r="S16" s="13"/>
      <c r="T16" s="13"/>
    </row>
    <row r="17" spans="1:20" x14ac:dyDescent="0.5">
      <c r="A17" s="13"/>
      <c r="B17" s="13"/>
      <c r="C17" s="13"/>
      <c r="D17" s="13"/>
      <c r="E17" s="13"/>
      <c r="F17" s="13"/>
      <c r="G17" s="13"/>
      <c r="H17" s="13"/>
      <c r="I17" s="13"/>
      <c r="J17" s="13"/>
      <c r="K17" s="13"/>
      <c r="L17" s="13"/>
      <c r="M17" s="13"/>
      <c r="N17" s="13"/>
      <c r="O17" s="13"/>
      <c r="P17" s="13"/>
      <c r="Q17" s="13"/>
      <c r="R17" s="13"/>
      <c r="S17" s="13"/>
      <c r="T17" s="13"/>
    </row>
    <row r="18" spans="1:20" x14ac:dyDescent="0.5">
      <c r="A18" s="13"/>
      <c r="B18" s="13"/>
      <c r="C18" s="13"/>
      <c r="D18" s="13"/>
      <c r="E18" s="13"/>
      <c r="F18" s="13"/>
      <c r="G18" s="13"/>
      <c r="H18" s="13"/>
      <c r="I18" s="13"/>
      <c r="J18" s="13"/>
      <c r="K18" s="13"/>
      <c r="L18" s="13"/>
      <c r="M18" s="13"/>
      <c r="N18" s="13"/>
      <c r="O18" s="13"/>
      <c r="P18" s="13"/>
      <c r="Q18" s="13"/>
      <c r="R18" s="13"/>
      <c r="S18" s="13"/>
      <c r="T18" s="13"/>
    </row>
    <row r="19" spans="1:20" x14ac:dyDescent="0.5">
      <c r="A19" s="13"/>
      <c r="B19" s="13"/>
      <c r="C19" s="13"/>
      <c r="D19" s="13"/>
      <c r="E19" s="13"/>
      <c r="F19" s="13"/>
      <c r="G19" s="13"/>
      <c r="H19" s="13"/>
      <c r="I19" s="13"/>
      <c r="J19" s="13"/>
      <c r="K19" s="13"/>
      <c r="L19" s="13"/>
      <c r="M19" s="13"/>
      <c r="N19" s="13"/>
      <c r="O19" s="13"/>
      <c r="P19" s="13"/>
      <c r="Q19" s="13"/>
      <c r="R19" s="13"/>
      <c r="S19" s="13"/>
      <c r="T19" s="13"/>
    </row>
    <row r="20" spans="1:20" x14ac:dyDescent="0.5">
      <c r="A20" s="13"/>
      <c r="B20" s="13"/>
      <c r="C20" s="13"/>
      <c r="D20" s="13"/>
      <c r="E20" s="13"/>
      <c r="F20" s="13"/>
      <c r="G20" s="13"/>
      <c r="H20" s="13"/>
      <c r="I20" s="13"/>
      <c r="J20" s="13"/>
      <c r="K20" s="13"/>
      <c r="L20" s="13"/>
      <c r="M20" s="13"/>
      <c r="N20" s="13"/>
      <c r="O20" s="13"/>
      <c r="P20" s="13"/>
      <c r="Q20" s="13"/>
      <c r="R20" s="13"/>
      <c r="S20" s="13"/>
      <c r="T20" s="13"/>
    </row>
    <row r="21" spans="1:20" x14ac:dyDescent="0.5">
      <c r="A21" s="13"/>
      <c r="B21" s="13"/>
      <c r="C21" s="13"/>
      <c r="D21" s="13"/>
      <c r="E21" s="13"/>
      <c r="F21" s="13"/>
      <c r="G21" s="13"/>
      <c r="H21" s="13"/>
      <c r="I21" s="13"/>
      <c r="J21" s="13"/>
      <c r="K21" s="13"/>
      <c r="L21" s="13"/>
      <c r="M21" s="13"/>
      <c r="N21" s="13"/>
      <c r="O21" s="13"/>
      <c r="P21" s="13"/>
      <c r="Q21" s="13"/>
      <c r="R21" s="13"/>
      <c r="S21" s="13"/>
      <c r="T21" s="13"/>
    </row>
    <row r="22" spans="1:20" x14ac:dyDescent="0.5">
      <c r="A22" s="13"/>
      <c r="B22" s="13"/>
      <c r="C22" s="13"/>
      <c r="D22" s="13"/>
      <c r="E22" s="13"/>
      <c r="F22" s="13"/>
      <c r="G22" s="13"/>
      <c r="H22" s="13"/>
      <c r="I22" s="13"/>
      <c r="J22" s="13"/>
      <c r="K22" s="13"/>
      <c r="L22" s="13"/>
      <c r="M22" s="13"/>
      <c r="N22" s="13"/>
      <c r="O22" s="13"/>
      <c r="P22" s="13"/>
      <c r="Q22" s="13"/>
      <c r="R22" s="13"/>
      <c r="S22" s="13"/>
      <c r="T22" s="13"/>
    </row>
    <row r="23" spans="1:20" x14ac:dyDescent="0.5">
      <c r="A23" s="13"/>
      <c r="B23" s="13"/>
      <c r="C23" s="13"/>
      <c r="D23" s="13"/>
      <c r="E23" s="13"/>
      <c r="F23" s="13"/>
      <c r="G23" s="13"/>
      <c r="H23" s="13"/>
      <c r="I23" s="13"/>
      <c r="J23" s="13"/>
      <c r="K23" s="13"/>
      <c r="L23" s="13"/>
      <c r="M23" s="13"/>
      <c r="N23" s="13"/>
      <c r="O23" s="13"/>
      <c r="P23" s="13"/>
      <c r="Q23" s="13"/>
      <c r="R23" s="13"/>
      <c r="S23" s="13"/>
      <c r="T23" s="13"/>
    </row>
    <row r="24" spans="1:20" x14ac:dyDescent="0.5">
      <c r="A24" s="13"/>
      <c r="B24" s="13"/>
      <c r="C24" s="13"/>
      <c r="D24" s="13"/>
      <c r="E24" s="13"/>
      <c r="F24" s="13"/>
      <c r="G24" s="13"/>
      <c r="H24" s="13"/>
      <c r="I24" s="13"/>
      <c r="J24" s="13"/>
      <c r="K24" s="13"/>
      <c r="L24" s="13"/>
      <c r="M24" s="13"/>
      <c r="N24" s="13"/>
      <c r="O24" s="13"/>
      <c r="P24" s="13"/>
      <c r="Q24" s="13"/>
      <c r="R24" s="13"/>
      <c r="S24" s="13"/>
      <c r="T24" s="13"/>
    </row>
    <row r="25" spans="1:20" x14ac:dyDescent="0.5">
      <c r="A25" s="13"/>
      <c r="B25" s="13"/>
      <c r="C25" s="13"/>
      <c r="D25" s="13"/>
      <c r="E25" s="13"/>
      <c r="F25" s="13"/>
      <c r="G25" s="13"/>
      <c r="H25" s="13"/>
      <c r="I25" s="13"/>
      <c r="J25" s="13"/>
      <c r="K25" s="13"/>
      <c r="L25" s="13"/>
      <c r="M25" s="13"/>
      <c r="N25" s="13"/>
      <c r="O25" s="13"/>
      <c r="P25" s="13"/>
      <c r="Q25" s="13"/>
      <c r="R25" s="13"/>
      <c r="S25" s="13"/>
      <c r="T25" s="13"/>
    </row>
    <row r="26" spans="1:20" x14ac:dyDescent="0.5">
      <c r="A26" s="13"/>
      <c r="B26" s="13"/>
      <c r="C26" s="13"/>
      <c r="D26" s="13"/>
      <c r="E26" s="13"/>
      <c r="F26" s="13"/>
      <c r="G26" s="13"/>
      <c r="H26" s="13"/>
      <c r="I26" s="13"/>
      <c r="J26" s="13"/>
      <c r="K26" s="13"/>
      <c r="L26" s="13"/>
      <c r="M26" s="13"/>
      <c r="N26" s="13"/>
      <c r="O26" s="13"/>
      <c r="P26" s="13"/>
      <c r="Q26" s="13"/>
      <c r="R26" s="13"/>
      <c r="S26" s="13"/>
      <c r="T26" s="13"/>
    </row>
    <row r="27" spans="1:20" x14ac:dyDescent="0.5">
      <c r="A27" s="13"/>
      <c r="B27" s="13"/>
      <c r="C27" s="13"/>
      <c r="D27" s="13"/>
      <c r="E27" s="13"/>
      <c r="F27" s="13"/>
      <c r="G27" s="13"/>
      <c r="H27" s="13"/>
      <c r="I27" s="13"/>
      <c r="J27" s="13"/>
      <c r="K27" s="13"/>
      <c r="L27" s="13"/>
      <c r="M27" s="13"/>
      <c r="N27" s="13"/>
      <c r="O27" s="13"/>
      <c r="P27" s="13"/>
      <c r="Q27" s="13"/>
      <c r="R27" s="13"/>
      <c r="S27" s="13"/>
      <c r="T27" s="13"/>
    </row>
    <row r="28" spans="1:20" x14ac:dyDescent="0.5">
      <c r="A28" s="13"/>
      <c r="B28" s="13"/>
      <c r="C28" s="13"/>
      <c r="D28" s="13"/>
      <c r="E28" s="13"/>
      <c r="F28" s="13"/>
      <c r="G28" s="13"/>
      <c r="H28" s="13"/>
      <c r="I28" s="13"/>
      <c r="J28" s="13"/>
      <c r="K28" s="13"/>
      <c r="L28" s="13"/>
      <c r="M28" s="13"/>
      <c r="N28" s="13"/>
      <c r="O28" s="13"/>
      <c r="P28" s="13"/>
      <c r="Q28" s="13"/>
      <c r="R28" s="13"/>
      <c r="S28" s="13"/>
      <c r="T28" s="13"/>
    </row>
    <row r="29" spans="1:20" x14ac:dyDescent="0.5">
      <c r="A29" s="13"/>
      <c r="B29" s="13"/>
      <c r="C29" s="13"/>
      <c r="D29" s="13"/>
      <c r="E29" s="13"/>
      <c r="F29" s="13"/>
      <c r="G29" s="13"/>
      <c r="H29" s="13"/>
      <c r="I29" s="13"/>
      <c r="J29" s="13"/>
      <c r="K29" s="13"/>
      <c r="L29" s="13"/>
      <c r="M29" s="13"/>
      <c r="N29" s="13"/>
      <c r="O29" s="13"/>
      <c r="P29" s="13"/>
      <c r="Q29" s="13"/>
      <c r="R29" s="13"/>
      <c r="S29" s="13"/>
      <c r="T29" s="13"/>
    </row>
    <row r="30" spans="1:20" x14ac:dyDescent="0.5">
      <c r="A30" s="13"/>
      <c r="B30" s="13"/>
      <c r="C30" s="13"/>
      <c r="D30" s="13"/>
      <c r="E30" s="13"/>
      <c r="F30" s="13"/>
      <c r="G30" s="13"/>
      <c r="H30" s="13"/>
      <c r="I30" s="13"/>
      <c r="J30" s="13"/>
      <c r="K30" s="13"/>
      <c r="L30" s="13"/>
      <c r="M30" s="13"/>
      <c r="N30" s="13"/>
      <c r="O30" s="13"/>
      <c r="P30" s="13"/>
      <c r="Q30" s="13"/>
      <c r="R30" s="13"/>
      <c r="S30" s="13"/>
      <c r="T30" s="13"/>
    </row>
    <row r="31" spans="1:20" x14ac:dyDescent="0.5">
      <c r="A31" s="13"/>
      <c r="B31" s="13"/>
      <c r="C31" s="13"/>
      <c r="D31" s="13"/>
      <c r="E31" s="13"/>
      <c r="F31" s="13"/>
      <c r="G31" s="13"/>
      <c r="H31" s="13"/>
      <c r="I31" s="13"/>
      <c r="J31" s="13"/>
      <c r="K31" s="13"/>
      <c r="L31" s="13"/>
      <c r="M31" s="13"/>
      <c r="N31" s="13"/>
      <c r="O31" s="13"/>
      <c r="P31" s="13"/>
      <c r="Q31" s="13"/>
      <c r="R31" s="13"/>
      <c r="S31" s="13"/>
      <c r="T31" s="13"/>
    </row>
    <row r="32" spans="1:20" x14ac:dyDescent="0.5">
      <c r="A32" s="13"/>
      <c r="B32" s="13"/>
      <c r="C32" s="13"/>
      <c r="D32" s="13"/>
      <c r="E32" s="13"/>
      <c r="F32" s="13"/>
      <c r="G32" s="13"/>
      <c r="H32" s="13"/>
      <c r="I32" s="13"/>
      <c r="J32" s="13"/>
      <c r="K32" s="13"/>
      <c r="L32" s="13"/>
      <c r="M32" s="13"/>
      <c r="N32" s="13"/>
      <c r="O32" s="13"/>
      <c r="P32" s="13"/>
      <c r="Q32" s="13"/>
      <c r="R32" s="13"/>
      <c r="S32" s="13"/>
      <c r="T32" s="13"/>
    </row>
    <row r="33" spans="1:20" x14ac:dyDescent="0.5">
      <c r="A33" s="13"/>
      <c r="B33" s="13"/>
      <c r="C33" s="13"/>
      <c r="D33" s="13"/>
      <c r="E33" s="13"/>
      <c r="F33" s="13"/>
      <c r="G33" s="13"/>
      <c r="H33" s="13"/>
      <c r="I33" s="13"/>
      <c r="J33" s="13"/>
      <c r="K33" s="13"/>
      <c r="L33" s="13"/>
      <c r="M33" s="13"/>
      <c r="N33" s="13"/>
      <c r="O33" s="13"/>
      <c r="P33" s="13"/>
      <c r="Q33" s="13"/>
      <c r="R33" s="13"/>
      <c r="S33" s="13"/>
      <c r="T33" s="13"/>
    </row>
    <row r="34" spans="1:20" x14ac:dyDescent="0.5">
      <c r="A34" s="13"/>
      <c r="B34" s="13"/>
      <c r="C34" s="13"/>
      <c r="D34" s="13"/>
      <c r="E34" s="13"/>
      <c r="F34" s="13"/>
      <c r="G34" s="13"/>
      <c r="H34" s="13"/>
      <c r="I34" s="13"/>
      <c r="J34" s="13"/>
      <c r="K34" s="13"/>
      <c r="L34" s="13"/>
      <c r="M34" s="13"/>
      <c r="N34" s="13"/>
      <c r="O34" s="13"/>
      <c r="P34" s="13"/>
      <c r="Q34" s="13"/>
      <c r="R34" s="13"/>
      <c r="S34" s="13"/>
      <c r="T34" s="13"/>
    </row>
    <row r="35" spans="1:20" x14ac:dyDescent="0.5">
      <c r="A35" s="13"/>
      <c r="B35" s="13"/>
      <c r="C35" s="13"/>
      <c r="D35" s="13"/>
      <c r="E35" s="13"/>
      <c r="F35" s="13"/>
      <c r="G35" s="13"/>
      <c r="H35" s="13"/>
      <c r="I35" s="13"/>
      <c r="J35" s="13"/>
      <c r="K35" s="13"/>
      <c r="L35" s="13"/>
      <c r="M35" s="13"/>
      <c r="N35" s="13"/>
      <c r="O35" s="13"/>
      <c r="P35" s="13"/>
      <c r="Q35" s="13"/>
      <c r="R35" s="13"/>
      <c r="S35" s="13"/>
      <c r="T35" s="13"/>
    </row>
    <row r="36" spans="1:20" x14ac:dyDescent="0.5">
      <c r="A36" s="13"/>
      <c r="B36" s="13"/>
      <c r="C36" s="13"/>
      <c r="D36" s="13"/>
      <c r="E36" s="13"/>
      <c r="F36" s="13"/>
      <c r="G36" s="13"/>
      <c r="H36" s="13"/>
      <c r="I36" s="13"/>
      <c r="J36" s="13"/>
      <c r="K36" s="13"/>
      <c r="L36" s="13"/>
      <c r="M36" s="13"/>
      <c r="N36" s="13"/>
      <c r="O36" s="13"/>
      <c r="P36" s="13"/>
      <c r="Q36" s="13"/>
      <c r="R36" s="13"/>
      <c r="S36" s="13"/>
      <c r="T36" s="13"/>
    </row>
    <row r="37" spans="1:20" x14ac:dyDescent="0.5">
      <c r="A37" s="13"/>
      <c r="B37" s="13"/>
      <c r="C37" s="13"/>
      <c r="D37" s="13"/>
      <c r="E37" s="13"/>
      <c r="F37" s="13"/>
      <c r="G37" s="13"/>
      <c r="H37" s="13"/>
      <c r="I37" s="13"/>
      <c r="J37" s="13"/>
      <c r="K37" s="13"/>
      <c r="L37" s="13"/>
      <c r="M37" s="13"/>
      <c r="N37" s="13"/>
      <c r="O37" s="13"/>
      <c r="P37" s="13"/>
      <c r="Q37" s="13"/>
      <c r="R37" s="13"/>
      <c r="S37" s="13"/>
      <c r="T37" s="13"/>
    </row>
    <row r="38" spans="1:20" x14ac:dyDescent="0.5">
      <c r="A38" s="13"/>
      <c r="B38" s="13"/>
      <c r="C38" s="13"/>
      <c r="D38" s="13"/>
      <c r="E38" s="13"/>
      <c r="F38" s="13"/>
      <c r="G38" s="13"/>
      <c r="H38" s="13"/>
      <c r="I38" s="13"/>
      <c r="J38" s="13"/>
      <c r="K38" s="13"/>
      <c r="L38" s="13"/>
      <c r="M38" s="13"/>
      <c r="N38" s="13"/>
      <c r="O38" s="13"/>
      <c r="P38" s="13"/>
      <c r="Q38" s="13"/>
      <c r="R38" s="13"/>
      <c r="S38" s="13"/>
      <c r="T38" s="13"/>
    </row>
    <row r="39" spans="1:20" x14ac:dyDescent="0.5">
      <c r="A39" s="13"/>
      <c r="B39" s="13"/>
      <c r="C39" s="13"/>
      <c r="D39" s="13"/>
      <c r="E39" s="13"/>
      <c r="F39" s="13"/>
      <c r="G39" s="13"/>
      <c r="H39" s="13"/>
      <c r="I39" s="13"/>
      <c r="J39" s="13"/>
      <c r="K39" s="13"/>
      <c r="L39" s="13"/>
      <c r="M39" s="13"/>
      <c r="N39" s="13"/>
      <c r="O39" s="13"/>
      <c r="P39" s="13"/>
      <c r="Q39" s="13"/>
      <c r="R39" s="13"/>
      <c r="S39" s="13"/>
      <c r="T39" s="13"/>
    </row>
    <row r="40" spans="1:20" x14ac:dyDescent="0.5">
      <c r="A40" s="13"/>
      <c r="B40" s="13"/>
      <c r="C40" s="13"/>
      <c r="D40" s="13"/>
      <c r="E40" s="13"/>
      <c r="F40" s="13"/>
      <c r="G40" s="13"/>
      <c r="H40" s="13"/>
      <c r="I40" s="13"/>
      <c r="J40" s="13"/>
      <c r="K40" s="13"/>
      <c r="L40" s="13"/>
      <c r="M40" s="13"/>
      <c r="N40" s="13"/>
      <c r="O40" s="13"/>
      <c r="P40" s="13"/>
      <c r="Q40" s="13"/>
      <c r="R40" s="13"/>
      <c r="S40" s="13"/>
      <c r="T40" s="13"/>
    </row>
  </sheetData>
  <mergeCells count="20">
    <mergeCell ref="T1:T40"/>
    <mergeCell ref="A40:S40"/>
    <mergeCell ref="A8:S39"/>
    <mergeCell ref="O4:S7"/>
    <mergeCell ref="A1:S2"/>
    <mergeCell ref="A4:B5"/>
    <mergeCell ref="A6:B7"/>
    <mergeCell ref="D4:E5"/>
    <mergeCell ref="D6:E7"/>
    <mergeCell ref="G4:H5"/>
    <mergeCell ref="G6:H7"/>
    <mergeCell ref="J4:K5"/>
    <mergeCell ref="J6:K7"/>
    <mergeCell ref="M4:N5"/>
    <mergeCell ref="M6:N7"/>
    <mergeCell ref="A3:S3"/>
    <mergeCell ref="C4:C7"/>
    <mergeCell ref="F4:F7"/>
    <mergeCell ref="I4:I7"/>
    <mergeCell ref="L4: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9473AA-0249-43C2-8D99-2CF6C47130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zomato_uncleaned_dataset</vt:lpstr>
      <vt:lpstr>zomato cleaned dataset</vt:lpstr>
      <vt:lpstr>pivot tables</vt:lpstr>
      <vt:lpstr>zomato 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SURAJ RANA</cp:lastModifiedBy>
  <dcterms:created xsi:type="dcterms:W3CDTF">2026-10-07T04:58:39Z</dcterms:created>
  <dcterms:modified xsi:type="dcterms:W3CDTF">2026-10-09T05:56:33Z</dcterms:modified>
</cp:coreProperties>
</file>